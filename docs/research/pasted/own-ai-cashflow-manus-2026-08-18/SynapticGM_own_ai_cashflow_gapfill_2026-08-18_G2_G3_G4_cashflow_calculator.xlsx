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Image Ladder" sheetId="5" state="visible" r:id="rId5"/>
    <sheet xmlns:r="http://schemas.openxmlformats.org/officeDocument/2006/relationships" name="Sources" sheetId="6" state="visible" r:id="rId6"/>
  </sheets>
  <definedNames>
    <definedName name="_xlnm.Print_Area" localSheetId="0">'Read Me'!$B$2:$J$23</definedName>
    <definedName name="_xlnm.Print_Area" localSheetId="1">'Assumptions'!$B$2:$H$62</definedName>
    <definedName name="_xlnm.Print_Area" localSheetId="2">'Cashflow'!$B$2:$S$40</definedName>
    <definedName name="_xlnm.Print_Area" localSheetId="3">'Sensitivity'!$B$2:$J$40</definedName>
    <definedName name="_xlnm.Print_Area" localSheetId="4">'Image Ladder'!$B$2:$I$22</definedName>
    <definedName name="_xlnm.Print_Area" localSheetId="5">'Sources'!$B$2:$H$22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0.00000"/>
    <numFmt numFmtId="167" formatCode="£#,##0.0;(£#,##0.0);-"/>
    <numFmt numFmtId="168" formatCode="$#,##0.000;($#,##0.000);-"/>
    <numFmt numFmtId="169" formatCode="$0.000000"/>
    <numFmt numFmtId="170" formatCode="$0.000"/>
    <numFmt numFmtId="171" formatCode="£0.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i val="1"/>
      <color rgb="00666666"/>
    </font>
    <font>
      <b val="1"/>
    </font>
    <font>
      <color rgb="000000FF"/>
    </font>
    <font>
      <color rgb="00000000"/>
    </font>
    <font>
      <i val="1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35B44"/>
      </patternFill>
    </fill>
    <fill>
      <patternFill patternType="solid">
        <fgColor rgb="00CFE9E0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6" fontId="6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67" fontId="5" fillId="0" borderId="1" applyAlignment="1" pivotButton="0" quotePrefix="0" xfId="0">
      <alignment vertical="top"/>
    </xf>
    <xf numFmtId="168" fontId="5" fillId="0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167" fontId="6" fillId="0" borderId="1" applyAlignment="1" pivotButton="0" quotePrefix="0" xfId="0">
      <alignment vertical="top"/>
    </xf>
    <xf numFmtId="164" fontId="6" fillId="0" borderId="1" applyAlignment="1" pivotButton="0" quotePrefix="0" xfId="0">
      <alignment vertical="top"/>
    </xf>
    <xf numFmtId="169" fontId="6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170" fontId="5" fillId="0" borderId="1" applyAlignment="1" pivotButton="0" quotePrefix="0" xfId="0">
      <alignment vertical="top" wrapText="1"/>
    </xf>
    <xf numFmtId="171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Cost at 1,000 MAU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'Cashflow'!D44</f>
            </strRef>
          </tx>
          <spPr>
            <a:ln xmlns:a="http://schemas.openxmlformats.org/drawingml/2006/main">
              <a:prstDash val="solid"/>
            </a:ln>
          </spPr>
          <cat>
            <numRef>
              <f>'Cashflow'!$C$45:$C$50</f>
            </numRef>
          </cat>
          <val>
            <numRef>
              <f>'Cashflow'!$D$45:$D$50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GBP/month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Manus AI</author>
  </authors>
  <commentList>
    <comment ref="D9" authorId="0" shapeId="0">
      <text>
        <t>Source: SynapticGM planning assumption; 18 Aug 2026. Editable model input; not a vendor price or forecast.</t>
      </text>
    </comment>
    <comment ref="D10" authorId="0" shapeId="0">
      <text>
        <t>Source: SynapticGM planning assumption; 18 Aug 2026. Editable model input; not a vendor price or forecast.</t>
      </text>
    </comment>
    <comment ref="D11" authorId="0" shapeId="0">
      <text>
        <t>Source: SynapticGM planning assumption; 18 Aug 2026. Editable model input; not a vendor price or forecast.</t>
      </text>
    </comment>
    <comment ref="D12" authorId="0" shapeId="0">
      <text>
        <t>Source: SynapticGM planning assumption; 18 Aug 2026. Editable model input; not a vendor price or forecast.</t>
      </text>
    </comment>
    <comment ref="D13" authorId="0" shapeId="0">
      <text>
        <t>Source: SynapticGM planning assumption; 18 Aug 2026. Editable model input; not a vendor price or forecast.</t>
      </text>
    </comment>
    <comment ref="D14" authorId="0" shapeId="0">
      <text>
        <t>Source: SynapticGM planning assumption; 18 Aug 2026. Editable model input; not a vendor price or forecast.</t>
      </text>
    </comment>
    <comment ref="D15" authorId="0" shapeId="0">
      <text>
        <t>Source: SynapticGM planning assumption; 18 Aug 2026. Editable model input; not a vendor price or forecast.</t>
      </text>
    </comment>
    <comment ref="D16" authorId="0" shapeId="0">
      <text>
        <t>Source: SynapticGM planning assumption; 18 Aug 2026. Editable model input; not a vendor price or forecast.</t>
      </text>
    </comment>
    <comment ref="D17" authorId="0" shapeId="0">
      <text>
        <t>Source: SynapticGM planning assumption; 18 Aug 2026. Editable model input; not a vendor price or forecast.</t>
      </text>
    </comment>
    <comment ref="D18" authorId="0" shapeId="0">
      <text>
        <t>Source: SynapticGM planning assumption; 18 Aug 2026. Editable model input; not a vendor price or forecast.</t>
      </text>
    </comment>
    <comment ref="D21" authorId="0" shapeId="0">
      <text>
        <t>Source: Bank of England daily spot exchange rate; 17 Aug 2026; accessed 18 Aug 2026. £1 = $1.3553. Planning translation only. https://www.bankofengland.co.uk/boeapps/database/Rates.asp</t>
      </text>
    </comment>
    <comment ref="D22" authorId="0" shapeId="0">
      <text>
        <t>Source: Bank of England daily spot exchange rate; 17 Aug 2026; accessed 18 Aug 2026. £1 = $1.3553. Planning translation only. https://www.bankofengland.co.uk/boeapps/database/Rates.asp</t>
      </text>
    </comment>
    <comment ref="D23" authorId="0" shapeId="0">
      <text>
        <t>Source: SynapticGM planning assumption; 18 Aug 2026. Editable model input; not a vendor price or forecast.</t>
      </text>
    </comment>
    <comment ref="D24" authorId="0" shapeId="0">
      <text>
        <t>Source: SynapticGM planning assumption; 18 Aug 2026. Editable model input; not a vendor price or forecast.</t>
      </text>
    </comment>
    <comment ref="D25" authorId="0" shapeId="0">
      <text>
        <t>Source: SynapticGM planning assumption; 18 Aug 2026. Editable model input; not a vendor price or forecast.</t>
      </text>
    </comment>
    <comment ref="D26" authorId="0" shapeId="0">
      <text>
        <t>Source: SynapticGM planning assumption; 18 Aug 2026. Editable model input; not a vendor price or forecast.</t>
      </text>
    </comment>
    <comment ref="D29" authorId="0" shapeId="0">
      <text>
        <t>Source: Anthropic Pricing; accessed 18 Aug 2026. Claude Sonnet 5: $2/MTok input, $0.20 cache hit, $2.50 5m cache write, $10/MTok output. https://docs.anthropic.com/en/docs/about-claude/pricing</t>
      </text>
    </comment>
    <comment ref="D30" authorId="0" shapeId="0">
      <text>
        <t>Source: Anthropic Pricing; accessed 18 Aug 2026. Claude Sonnet 5: $2/MTok input, $0.20 cache hit, $2.50 5m cache write, $10/MTok output. https://docs.anthropic.com/en/docs/about-claude/pricing</t>
      </text>
    </comment>
    <comment ref="D31" authorId="0" shapeId="0">
      <text>
        <t>Source: Anthropic Pricing; accessed 18 Aug 2026. Claude Sonnet 5: $2/MTok input, $0.20 cache hit, $2.50 5m cache write, $10/MTok output. https://docs.anthropic.com/en/docs/about-claude/pricing</t>
      </text>
    </comment>
    <comment ref="D32" authorId="0" shapeId="0">
      <text>
        <t>Source: Anthropic Pricing; accessed 18 Aug 2026. Claude Sonnet 5: $2/MTok input, $0.20 cache hit, $2.50 5m cache write, $10/MTok output. https://docs.anthropic.com/en/docs/about-claude/pricing</t>
      </text>
    </comment>
    <comment ref="D33" authorId="0" shapeId="0">
      <text>
        <t>Source: OpenRouter Pricing; accessed 18 Aug 2026. Pay-as-you-go platform fee displayed as 5.5%. Planning gross-up, verify account billing before commitment. https://openrouter.ai/pricing</t>
      </text>
    </comment>
    <comment ref="D36" authorId="0" shapeId="0">
      <text>
        <t>Source: Fireworks Serverless Pricing; accessed 18 Aug 2026. NVIDIA Nemotron 3.5 Lightning 30B A3B: $0.05 input / $0.01 cached input / $0.20 output per MTok. https://docs.fireworks.ai/serverless/pricing</t>
      </text>
    </comment>
    <comment ref="D37" authorId="0" shapeId="0">
      <text>
        <t>Source: Fireworks Serverless Pricing; accessed 18 Aug 2026. NVIDIA Nemotron 3.5 Lightning 30B A3B: $0.05 input / $0.01 cached input / $0.20 output per MTok. https://docs.fireworks.ai/serverless/pricing</t>
      </text>
    </comment>
    <comment ref="D38" authorId="0" shapeId="0">
      <text>
        <t>Source: Fireworks Serverless Pricing; accessed 18 Aug 2026. NVIDIA Nemotron 3.5 Lightning 30B A3B: $0.05 input / $0.01 cached input / $0.20 output per MTok. https://docs.fireworks.ai/serverless/pricing</t>
      </text>
    </comment>
    <comment ref="D39" authorId="0" shapeId="0">
      <text>
        <t>Source: SynapticGM planning assumption; 18 Aug 2026. Editable model input; not a vendor price or forecast.</t>
      </text>
    </comment>
    <comment ref="D40" authorId="0" shapeId="0">
      <text>
        <t>Source: SynapticGM planning assumption; 18 Aug 2026. Editable model input; not a vendor price or forecast.</t>
      </text>
    </comment>
    <comment ref="D41" authorId="0" shapeId="0">
      <text>
        <t>Source: SynapticGM planning assumption; 18 Aug 2026. Editable model input; not a vendor price or forecast.</t>
      </text>
    </comment>
    <comment ref="D42" authorId="0" shapeId="0">
      <text>
        <t>Source: SynapticGM planning assumption; 18 Aug 2026. Editable model input; not a vendor price or forecast.</t>
      </text>
    </comment>
    <comment ref="D45" authorId="0" shapeId="0">
      <text>
        <t>Source: SynapticGM planning assumption; 18 Aug 2026. Editable model input; not a vendor price or forecast.</t>
      </text>
    </comment>
    <comment ref="D46" authorId="0" shapeId="0">
      <text>
        <t>Source: RunPod Pricing; accessed 18 Aug 2026. Community Cloud RTX A5000 24GB $0.27/GPU-hour; 24GB Serverless L4/A5000/3090/MIG $0.69/GPU-hour. https://www.runpod.io/pricing</t>
      </text>
    </comment>
    <comment ref="D47" authorId="0" shapeId="0">
      <text>
        <t>Source: RunPod Pricing; accessed 18 Aug 2026. Community Cloud RTX A5000 24GB $0.27/GPU-hour; 24GB Serverless L4/A5000/3090/MIG $0.69/GPU-hour. https://www.runpod.io/pricing</t>
      </text>
    </comment>
    <comment ref="D48" authorId="0" shapeId="0">
      <text>
        <t>Source: SynapticGM planning assumption; 18 Aug 2026. Editable model input; not a vendor price or forecast.</t>
      </text>
    </comment>
    <comment ref="D49" authorId="0" shapeId="0">
      <text>
        <t>Source: SynapticGM planning assumption; 18 Aug 2026. Editable model input; not a vendor price or forecast.</t>
      </text>
    </comment>
    <comment ref="D50" authorId="0" shapeId="0">
      <text>
        <t>Source: RunPod Pricing; accessed 18 Aug 2026. Community Cloud RTX A5000 24GB $0.27/GPU-hour; 24GB Serverless L4/A5000/3090/MIG $0.69/GPU-hour. https://www.runpod.io/pricing</t>
      </text>
    </comment>
    <comment ref="D51" authorId="0" shapeId="0">
      <text>
        <t>Source: SynapticGM planning assumption; 18 Aug 2026. Editable model input; not a vendor price or forecast.</t>
      </text>
    </comment>
    <comment ref="D52" authorId="0" shapeId="0">
      <text>
        <t>Source: SynapticGM planning assumption; 18 Aug 2026. Editable model input; not a vendor price or forecast.</t>
      </text>
    </comment>
    <comment ref="D53" authorId="0" shapeId="0">
      <text>
        <t>Source: RunPod Pricing; accessed 18 Aug 2026. A100 PCIe 80GB Community Cloud $1.39/GPU-hour. https://www.runpod.io/pricing</t>
      </text>
    </comment>
    <comment ref="D54" authorId="0" shapeId="0">
      <text>
        <t>Source: SynapticGM planning assumption; 18 Aug 2026. Editable model input; not a vendor price or forecast.</t>
      </text>
    </comment>
    <comment ref="D57" authorId="0" shapeId="0">
      <text>
        <t>Source: SynapticGM planning assumption; 18 Aug 2026. Editable model input; not a vendor price or forecast.</t>
      </text>
    </comment>
    <comment ref="D58" authorId="0" shapeId="0">
      <text>
        <t>Source: SynapticGM planning assumption; 18 Aug 2026. Editable model input; not a vendor price or forecast.</t>
      </text>
    </comment>
    <comment ref="D59" authorId="0" shapeId="0">
      <text>
        <t>Source: SynapticGM planning assumption; 18 Aug 2026. Editable model input; not a vendor price or forecast.</t>
      </text>
    </comment>
    <comment ref="D60" authorId="0" shapeId="0">
      <text>
        <t>Source: BFL Pricing and OpenRouter FLUX.2 Pro page; accessed 18 Aug 2026. FLUX.2 Pro first output MP $0.03; reference input $0.015/MP. https://docs.bfl.ai/quick_start/pricing ; https://openrouter.ai/black-forest-labs/flux.2-pro</t>
      </text>
    </comment>
    <comment ref="D61" authorId="0" shapeId="0">
      <text>
        <t>Source: SynapticGM planning assumption; 18 Aug 2026. Editable model input; not a vendor price or forecast.</t>
      </text>
    </comment>
    <comment ref="D62" authorId="0" shapeId="0">
      <text>
        <t>Source: SynapticGM planning assumption; 18 Aug 2026. Editable model input; not a vendor price or forecast.</t>
      </text>
    </comment>
  </commentList>
</comments>
</file>

<file path=xl/comments/comment2.xml><?xml version="1.0" encoding="utf-8"?>
<comments xmlns="http://schemas.openxmlformats.org/spreadsheetml/2006/main">
  <authors>
    <author>Manus AI</author>
  </authors>
  <commentList>
    <comment ref="D9" authorId="0" shapeId="0">
      <text>
        <t>Source: SynapticGM planning assumption; 18 Aug 2026. Editable model input; not a vendor price or forecast.</t>
      </text>
    </comment>
    <comment ref="D10" authorId="0" shapeId="0">
      <text>
        <t>Source: SynapticGM planning assumption; 18 Aug 2026. Editable model input; not a vendor price or forecast.</t>
      </text>
    </comment>
    <comment ref="D11" authorId="0" shapeId="0">
      <text>
        <t>Source: SynapticGM planning assumption; 18 Aug 2026. Editable model input; not a vendor price or forecast.</t>
      </text>
    </comment>
    <comment ref="D13" authorId="0" shapeId="0">
      <text>
        <t>Source: SynapticGM planning assumption; 18 Aug 2026. Editable model input; not a vendor price or forecast.</t>
      </text>
    </comment>
    <comment ref="D14" authorId="0" shapeId="0">
      <text>
        <t>Source: SynapticGM planning assumption; 18 Aug 2026. Editable model input; not a vendor price or forecast.</t>
      </text>
    </comment>
    <comment ref="D15" authorId="0" shapeId="0">
      <text>
        <t>Source: SynapticGM planning assumption; 18 Aug 2026. Editable model input; not a vendor price or forecast.</t>
      </text>
    </comment>
    <comment ref="D17" authorId="0" shapeId="0">
      <text>
        <t>Source: SynapticGM planning assumption; 18 Aug 2026. Editable model input; not a vendor price or forecast.</t>
      </text>
    </comment>
    <comment ref="D18" authorId="0" shapeId="0">
      <text>
        <t>Source: SynapticGM planning assumption; 18 Aug 2026. Editable model input; not a vendor price or forecast.</t>
      </text>
    </comment>
    <comment ref="D19" authorId="0" shapeId="0">
      <text>
        <t>Source: SynapticGM planning assumption; 18 Aug 2026. Editable model input; not a vendor price or forecast.</t>
      </text>
    </comment>
    <comment ref="D21" authorId="0" shapeId="0">
      <text>
        <t>Source: SynapticGM planning assumption; 18 Aug 2026. Editable model input; not a vendor price or forecast.</t>
      </text>
    </comment>
    <comment ref="D22" authorId="0" shapeId="0">
      <text>
        <t>Source: SynapticGM planning assumption; 18 Aug 2026. Editable model input; not a vendor price or forecast.</t>
      </text>
    </comment>
    <comment ref="D23" authorId="0" shapeId="0">
      <text>
        <t>Source: SynapticGM planning assumption; 18 Aug 2026. Editable model input; not a vendor price or forecast.</t>
      </text>
    </comment>
    <comment ref="D25" authorId="0" shapeId="0">
      <text>
        <t>Source: SynapticGM planning assumption; 18 Aug 2026. Editable model input; not a vendor price or forecast.</t>
      </text>
    </comment>
    <comment ref="D26" authorId="0" shapeId="0">
      <text>
        <t>Source: SynapticGM planning assumption; 18 Aug 2026. Editable model input; not a vendor price or forecast.</t>
      </text>
    </comment>
    <comment ref="D27" authorId="0" shapeId="0">
      <text>
        <t>Source: SynapticGM planning assumption; 18 Aug 2026. Editable model input; not a vendor price or forecast.</t>
      </text>
    </comment>
    <comment ref="D29" authorId="0" shapeId="0">
      <text>
        <t>Source: SynapticGM planning assumption; 18 Aug 2026. Editable model input; not a vendor price or forecast.</t>
      </text>
    </comment>
    <comment ref="D30" authorId="0" shapeId="0">
      <text>
        <t>Source: SynapticGM planning assumption; 18 Aug 2026. Editable model input; not a vendor price or forecast.</t>
      </text>
    </comment>
    <comment ref="D31" authorId="0" shapeId="0">
      <text>
        <t>Source: SynapticGM planning assumption; 18 Aug 2026. Editable model input; not a vendor price or forecast.</t>
      </text>
    </comment>
  </commentList>
</comments>
</file>

<file path=xl/comments/comment3.xml><?xml version="1.0" encoding="utf-8"?>
<comments xmlns="http://schemas.openxmlformats.org/spreadsheetml/2006/main">
  <authors>
    <author>Manus AI</author>
  </authors>
  <commentList>
    <comment ref="C20" authorId="0" shapeId="0">
      <text>
        <t>Source: SynapticGM planning assumption; 18 Aug 2026. Editable model input; not a vendor price or forecast.</t>
      </text>
    </comment>
    <comment ref="C21" authorId="0" shapeId="0">
      <text>
        <t>Source: SynapticGM planning assumption; 18 Aug 2026. Editable model input; not a vendor price or forecast.</t>
      </text>
    </comment>
    <comment ref="C22" authorId="0" shapeId="0">
      <text>
        <t>Source: SynapticGM planning assumption; 18 Aug 2026. Editable model input; not a vendor price or forecast.</t>
      </text>
    </comment>
    <comment ref="C26" authorId="0" shapeId="0">
      <text>
        <t>Source: SynapticGM planning assumption; 18 Aug 2026. Editable model input; not a vendor price or forecast.</t>
      </text>
    </comment>
    <comment ref="C27" authorId="0" shapeId="0">
      <text>
        <t>Source: SynapticGM planning assumption; 18 Aug 2026. Editable model input; not a vendor price or forecast.</t>
      </text>
    </comment>
    <comment ref="C28" authorId="0" shapeId="0">
      <text>
        <t>Source: SynapticGM planning assumption; 18 Aug 2026. Editable model input; not a vendor price or forecast.</t>
      </text>
    </comment>
    <comment ref="C32" authorId="0" shapeId="0">
      <text>
        <t>Source: SynapticGM planning assumption; 18 Aug 2026. Editable model input; not a vendor price or forecast.</t>
      </text>
    </comment>
    <comment ref="C33" authorId="0" shapeId="0">
      <text>
        <t>Source: SynapticGM planning assumption; 18 Aug 2026. Editable model input; not a vendor price or forecast.</t>
      </text>
    </comment>
    <comment ref="C34" authorId="0" shapeId="0">
      <text>
        <t>Source: SynapticGM planning assumption; 18 Aug 2026. Editable model input; not a vendor price or forecast.</t>
      </text>
    </comment>
    <comment ref="C38" authorId="0" shapeId="0">
      <text>
        <t>Source: SynapticGM planning assumption; 18 Aug 2026. Editable model input; not a vendor price or forecast.</t>
      </text>
    </comment>
    <comment ref="D38" authorId="0" shapeId="0">
      <text>
        <t>Source: SynapticGM planning assumption; 18 Aug 2026. Editable model input; not a vendor price or forecast.</t>
      </text>
    </comment>
    <comment ref="E38" authorId="0" shapeId="0">
      <text>
        <t>Source: RunPod Pricing; accessed 18 Aug 2026. Community Cloud RTX A5000 24GB $0.27/GPU-hour; 24GB Serverless L4/A5000/3090/MIG $0.69/GPU-hour. https://www.runpod.io/pricing</t>
      </text>
    </comment>
    <comment ref="F38" authorId="0" shapeId="0">
      <text>
        <t>Source: RunPod Pricing; accessed 18 Aug 2026. Community Cloud RTX A5000 24GB $0.27/GPU-hour; 24GB Serverless L4/A5000/3090/MIG $0.69/GPU-hour. https://www.runpod.io/pricing</t>
      </text>
    </comment>
    <comment ref="G38" authorId="0" shapeId="0">
      <text>
        <t>Source: SynapticGM planning assumption; 18 Aug 2026. Editable model input; not a vendor price or forecast.</t>
      </text>
    </comment>
    <comment ref="C39" authorId="0" shapeId="0">
      <text>
        <t>Source: SynapticGM planning assumption; 18 Aug 2026. Editable model input; not a vendor price or forecast.</t>
      </text>
    </comment>
    <comment ref="D39" authorId="0" shapeId="0">
      <text>
        <t>Source: SynapticGM planning assumption; 18 Aug 2026. Editable model input; not a vendor price or forecast.</t>
      </text>
    </comment>
    <comment ref="E39" authorId="0" shapeId="0">
      <text>
        <t>Source: RunPod Pricing; accessed 18 Aug 2026. Community Cloud RTX A5000 24GB $0.27/GPU-hour; 24GB Serverless L4/A5000/3090/MIG $0.69/GPU-hour. https://www.runpod.io/pricing</t>
      </text>
    </comment>
    <comment ref="F39" authorId="0" shapeId="0">
      <text>
        <t>Source: RunPod Pricing; accessed 18 Aug 2026. Community Cloud RTX A5000 24GB $0.27/GPU-hour; 24GB Serverless L4/A5000/3090/MIG $0.69/GPU-hour. https://www.runpod.io/pricing</t>
      </text>
    </comment>
    <comment ref="G39" authorId="0" shapeId="0">
      <text>
        <t>Source: SynapticGM planning assumption; 18 Aug 2026. Editable model input; not a vendor price or forecast.</t>
      </text>
    </comment>
    <comment ref="C40" authorId="0" shapeId="0">
      <text>
        <t>Source: SynapticGM planning assumption; 18 Aug 2026. Editable model input; not a vendor price or forecast.</t>
      </text>
    </comment>
    <comment ref="D40" authorId="0" shapeId="0">
      <text>
        <t>Source: SynapticGM planning assumption; 18 Aug 2026. Editable model input; not a vendor price or forecast.</t>
      </text>
    </comment>
    <comment ref="E40" authorId="0" shapeId="0">
      <text>
        <t>Source: RunPod Pricing; accessed 18 Aug 2026. Community Cloud RTX A5000 24GB $0.27/GPU-hour; 24GB Serverless L4/A5000/3090/MIG $0.69/GPU-hour. https://www.runpod.io/pricing</t>
      </text>
    </comment>
    <comment ref="F40" authorId="0" shapeId="0">
      <text>
        <t>Source: RunPod Pricing; accessed 18 Aug 2026. Community Cloud RTX A5000 24GB $0.27/GPU-hour; 24GB Serverless L4/A5000/3090/MIG $0.69/GPU-hour. https://www.runpod.io/pricing</t>
      </text>
    </comment>
    <comment ref="G40" authorId="0" shapeId="0">
      <text>
        <t>Source: SynapticGM planning assumption; 18 Aug 2026. Editable model input; not a vendor price or forecast.</t>
      </text>
    </comment>
  </commentList>
</comments>
</file>

<file path=xl/comments/comment4.xml><?xml version="1.0" encoding="utf-8"?>
<comments xmlns="http://schemas.openxmlformats.org/spreadsheetml/2006/main">
  <authors>
    <author>Manus AI</author>
  </authors>
  <commentList>
    <comment ref="D9" authorId="0" shapeId="0">
      <text>
        <t>Source: BFL Pricing and OpenRouter FLUX.2 Pro page; accessed 18 Aug 2026. FLUX.2 Pro first output MP $0.03; reference input $0.015/MP. https://docs.bfl.ai/quick_start/pricing ; https://openrouter.ai/black-forest-labs/flux.2-pro</t>
      </text>
    </comment>
    <comment ref="D10" authorId="0" shapeId="0">
      <text>
        <t>Source: BFL Pricing and OpenRouter FLUX.2 Pro page; accessed 18 Aug 2026. FLUX.2 Pro first output MP $0.03; reference input $0.015/MP. https://docs.bfl.ai/quick_start/pricing ; https://openrouter.ai/black-forest-labs/flux.2-pro</t>
      </text>
    </comment>
    <comment ref="D11" authorId="0" shapeId="0">
      <text>
        <t>Source: BFL Pricing and OpenRouter FLUX.2 Pro page; accessed 18 Aug 2026. FLUX.2 Pro first output MP $0.03; reference input $0.015/MP. https://docs.bfl.ai/quick_start/pricing ; https://openrouter.ai/black-forest-labs/flux.2-pro</t>
      </text>
    </comment>
    <comment ref="D12" authorId="0" shapeId="0">
      <text>
        <t>Source: BFL Pricing and OpenRouter FLUX.2 Pro page; accessed 18 Aug 2026. FLUX.2 Pro first output MP $0.03; reference input $0.015/MP. https://docs.bfl.ai/quick_start/pricing ; https://openrouter.ai/black-forest-labs/flux.2-pro</t>
      </text>
    </comment>
  </commentList>
</comments>
</file>

<file path=xl/comments/comment5.xml><?xml version="1.0" encoding="utf-8"?>
<comments xmlns="http://schemas.openxmlformats.org/spreadsheetml/2006/main">
  <authors>
    <author>Manus AI</author>
  </authors>
  <commentList>
    <comment ref="F9" authorId="0" shapeId="0">
      <text>
        <t>Source accessed 2026-08-18.</t>
      </text>
    </comment>
    <comment ref="F10" authorId="0" shapeId="0">
      <text>
        <t>Source accessed 2026-08-18.</t>
      </text>
    </comment>
    <comment ref="F11" authorId="0" shapeId="0">
      <text>
        <t>Source accessed 2026-08-18.</t>
      </text>
    </comment>
    <comment ref="F12" authorId="0" shapeId="0">
      <text>
        <t>Source accessed 2026-08-18.</t>
      </text>
    </comment>
    <comment ref="F13" authorId="0" shapeId="0">
      <text>
        <t>Source accessed 2026-08-18.</t>
      </text>
    </comment>
    <comment ref="F14" authorId="0" shapeId="0">
      <text>
        <t>Source accessed 2026-08-18.</t>
      </text>
    </comment>
    <comment ref="F15" authorId="0" shapeId="0">
      <text>
        <t>Source accessed 2026-08-18.</t>
      </text>
    </comment>
    <comment ref="F16" authorId="0" shapeId="0">
      <text>
        <t>Source accessed 2026-08-18.</t>
      </text>
    </comment>
    <comment ref="F17" authorId="0" shapeId="0">
      <text>
        <t>Source accessed 2026-08-18.</t>
      </text>
    </comment>
    <comment ref="F18" authorId="0" shapeId="0">
      <text>
        <t>Source accessed 2026-08-18.</t>
      </text>
    </comment>
    <comment ref="F19" authorId="0" shapeId="0">
      <text>
        <t>Source accessed 2026-08-18.</t>
      </text>
    </comment>
    <comment ref="F20" authorId="0" shapeId="0">
      <text>
        <t>Source accessed 2026-08-18.</t>
      </text>
    </comment>
    <comment ref="F21" authorId="0" shapeId="0">
      <text>
        <t>Source accessed 2026-08-18.</t>
      </text>
    </comment>
    <comment ref="F22" authorId="0" shapeId="0">
      <text>
        <t>Source accessed 2026-08-18.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42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J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18" customHeight="1"/>
    <row r="2" ht="18" customHeight="1"/>
    <row r="3" ht="18" customHeight="1">
      <c r="C3" s="1" t="inlineStr">
        <is>
          <t>SynapticGM Own AI vs Paid APIs — Calculator Read Me</t>
        </is>
      </c>
    </row>
    <row r="4" ht="18" customHeight="1"/>
    <row r="5" ht="18" customHeight="1">
      <c r="C5" s="2" t="inlineStr">
        <is>
          <t>Fresh research project dated 18 August 2026. This workbook is an incremental operating-cash model, not a pricing commitment or revenue forecast.</t>
        </is>
      </c>
    </row>
    <row r="6" ht="18" customHeight="1">
      <c r="C6" s="3" t="inlineStr">
        <is>
          <t>(£ presentation; editable inputs on Assumptions)</t>
        </is>
      </c>
    </row>
    <row r="7" ht="18" customHeight="1"/>
    <row r="8" ht="18" customHeight="1">
      <c r="C8" s="4" t="inlineStr">
        <is>
          <t>Purpose</t>
        </is>
      </c>
      <c r="D8" s="5" t="inlineStr">
        <is>
          <t>Compare the incremental 12-month cash cost of five deployment architectures at 100, 1,000 and 10,000 Free MAU. The central decision is whether a small self-hosted Continuity Warden can earn its own operating complexity before anyone considers a self-hosted narrator.</t>
        </is>
      </c>
    </row>
    <row r="9" ht="18" customHeight="1"/>
    <row r="10" ht="18" customHeight="1">
      <c r="C10" s="4" t="inlineStr">
        <is>
          <t>Scope</t>
        </is>
      </c>
      <c r="D10" s="5" t="inlineStr">
        <is>
          <t>Live SynapticGM only. The ledger is truth. The Warden is a narrow classifier, not a custom full narrator. No WOF, no hybrid-climate analysis and no patent analysis are included.</t>
        </is>
      </c>
    </row>
    <row r="11" ht="18" customHeight="1"/>
    <row r="12" ht="18" customHeight="1">
      <c r="C12" s="4" t="inlineStr">
        <is>
          <t>How to use</t>
        </is>
      </c>
      <c r="D12" s="5" t="inlineStr">
        <is>
          <t>Change blue cells in Assumptions. Formula cells are black; cross-sheet links are green. Read Cashflow for base-case totals, Sensitivity for cache/retry/art stress, Image Ladder for image route policy, and Sources for dated vendor evidence.</t>
        </is>
      </c>
    </row>
    <row r="13" ht="18" customHeight="1"/>
    <row r="14" ht="18" customHeight="1">
      <c r="C14" s="4" t="inlineStr">
        <is>
          <t>Base workload</t>
        </is>
      </c>
      <c r="D14" s="5" t="inlineStr">
        <is>
          <t>40 turns per Free MAU per month, 5,000 input tokens and 500 output tokens per turn, 30% cache hit, 5% cache-write share when cache is used, 5% API retry rate, and 10× average-to-peak capacity factor.</t>
        </is>
      </c>
    </row>
    <row r="15" ht="18" customHeight="1"/>
    <row r="16" ht="18" customHeight="1">
      <c r="C16" s="4" t="inlineStr">
        <is>
          <t>Cost definition</t>
        </is>
      </c>
      <c r="D16" s="5" t="inlineStr">
        <is>
          <t>Includes narrator inference, gate inference, warm GPU capacity, estimated operator hours, evaluation budget, defined API/hosted fallbacks, and baseline art. Excludes revenue, taxes/VAT, payment processing, existing ledger/platform cost, corporate overhead, storage, egress, capital expenditure and any price discount not published.</t>
        </is>
      </c>
    </row>
    <row r="17" ht="18" customHeight="1"/>
    <row r="18" ht="18" customHeight="1">
      <c r="C18" s="4" t="inlineStr">
        <is>
          <t>Interpretation</t>
        </is>
      </c>
      <c r="D18" s="5" t="inlineStr">
        <is>
          <t>The self-hosted Warden case deliberately uses a warm $0.27/h 24GB Pod, which makes idle capacity visible. Serverless active-only costs are shown separately but do not receive a free low-latency guarantee. The 7B narrator row is explicitly non-equivalent; the 70B row sizes capacity for a 10× peak and 50 output tok/s/GPU.</t>
        </is>
      </c>
    </row>
    <row r="19" ht="18" customHeight="1"/>
    <row r="20" ht="18" customHeight="1">
      <c r="C20" s="4" t="inlineStr">
        <is>
          <t>Source policy</t>
        </is>
      </c>
      <c r="D20" s="5" t="inlineStr">
        <is>
          <t>All price values are public list-price observations from the cited pages, accessed 18 Aug 2026. Some sources are dynamic, model/version-specific or marketplace-based. Recheck before a spend commitment.</t>
        </is>
      </c>
    </row>
    <row r="21" ht="18" customHeight="1"/>
    <row r="22" ht="18" customHeight="1">
      <c r="C22" s="6" t="inlineStr">
        <is>
          <t>Workbook check</t>
        </is>
      </c>
    </row>
    <row r="23" ht="18" customHeight="1">
      <c r="C23" s="7" t="inlineStr">
        <is>
          <t>Input color audit</t>
        </is>
      </c>
      <c r="D23" s="5" t="inlineStr">
        <is>
          <t>Blue = hardcoded/editable input, Black = calculation on same sheet, Green = cross-sheet reference. Every blue hardcode has a source/assumption comment.</t>
        </is>
      </c>
    </row>
  </sheetData>
  <mergeCells count="9">
    <mergeCell ref="D14:J14"/>
    <mergeCell ref="D18:J18"/>
    <mergeCell ref="D12:J12"/>
    <mergeCell ref="D8:J8"/>
    <mergeCell ref="D20:J20"/>
    <mergeCell ref="D16:J16"/>
    <mergeCell ref="D10:J10"/>
    <mergeCell ref="C3:H3"/>
    <mergeCell ref="D23:J23"/>
  </mergeCells>
  <pageMargins left="0.75" right="0.75" top="1" bottom="1" header="0.5" footer="0.5"/>
  <pageSetup orientation="landscape" fitToWidth="1"/>
  <headerFooter>
    <oddHeader/>
    <oddFooter>&amp;C&amp;A |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C1:H6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20" customWidth="1" min="4" max="4"/>
    <col width="10" customWidth="1" min="5" max="5"/>
    <col width="28" customWidth="1" min="6" max="6"/>
    <col width="48" customWidth="1" min="7" max="7"/>
    <col width="10" customWidth="1" min="8" max="8"/>
  </cols>
  <sheetData>
    <row r="1" ht="18" customHeight="1"/>
    <row r="2" ht="18" customHeight="1"/>
    <row r="3" ht="18" customHeight="1">
      <c r="C3" s="1" t="inlineStr">
        <is>
          <t>SynapticGM Own AI vs Paid APIs — Assumptions</t>
        </is>
      </c>
    </row>
    <row r="4" ht="18" customHeight="1"/>
    <row r="5" ht="18" customHeight="1">
      <c r="C5" s="2" t="inlineStr">
        <is>
          <t>Editable blue cells drive all calculator outputs; pricing observed 18 Aug 2026.</t>
        </is>
      </c>
    </row>
    <row r="6" ht="18" customHeight="1">
      <c r="C6" s="3" t="inlineStr">
        <is>
          <t>($ and £ shown as stated; cost model presents £)</t>
        </is>
      </c>
    </row>
    <row r="7" ht="18" customHeight="1"/>
    <row r="8" ht="18" customHeight="1">
      <c r="C8" s="6" t="inlineStr">
        <is>
          <t>Workload &amp; policy assumptions</t>
        </is>
      </c>
      <c r="F8" s="7" t="inlineStr">
        <is>
          <t>Formula check: GBP per USD</t>
        </is>
      </c>
      <c r="G8" s="8">
        <f>1/D21</f>
        <v/>
      </c>
    </row>
    <row r="9" ht="18" customHeight="1">
      <c r="C9" s="7" t="inlineStr">
        <is>
          <t>MAU low</t>
        </is>
      </c>
      <c r="D9" s="9" t="n">
        <v>100</v>
      </c>
      <c r="F9" s="7" t="inlineStr">
        <is>
          <t>Model rule</t>
        </is>
      </c>
      <c r="G9" s="10" t="inlineStr">
        <is>
          <t>Do not hard-code cells outside this tab.</t>
        </is>
      </c>
    </row>
    <row r="10" ht="18" customHeight="1">
      <c r="C10" s="7" t="inlineStr">
        <is>
          <t>MAU mid</t>
        </is>
      </c>
      <c r="D10" s="9" t="n">
        <v>1000</v>
      </c>
      <c r="F10" s="7" t="inlineStr">
        <is>
          <t>Exclusion</t>
        </is>
      </c>
      <c r="G10" s="5" t="inlineStr">
        <is>
          <t>Revenue, VAT, taxes, existing platform/ledger cost and fixed corporate overhead are excluded as common/non-incremental.</t>
        </is>
      </c>
    </row>
    <row r="11" ht="18" customHeight="1">
      <c r="C11" s="7" t="inlineStr">
        <is>
          <t>MAU high</t>
        </is>
      </c>
      <c r="D11" s="9" t="n">
        <v>10000</v>
      </c>
    </row>
    <row r="12" ht="18" customHeight="1">
      <c r="C12" s="7" t="inlineStr">
        <is>
          <t>Turns / user / month</t>
        </is>
      </c>
      <c r="D12" s="9" t="n">
        <v>40</v>
      </c>
    </row>
    <row r="13" ht="18" customHeight="1">
      <c r="C13" s="7" t="inlineStr">
        <is>
          <t>Input tokens / turn</t>
        </is>
      </c>
      <c r="D13" s="9" t="n">
        <v>5000</v>
      </c>
    </row>
    <row r="14" ht="18" customHeight="1">
      <c r="C14" s="7" t="inlineStr">
        <is>
          <t>Output tokens / turn</t>
        </is>
      </c>
      <c r="D14" s="9" t="n">
        <v>500</v>
      </c>
    </row>
    <row r="15" ht="18" customHeight="1">
      <c r="C15" s="7" t="inlineStr">
        <is>
          <t>Cache hit rate</t>
        </is>
      </c>
      <c r="D15" s="11" t="n">
        <v>0.3</v>
      </c>
    </row>
    <row r="16" ht="18" customHeight="1">
      <c r="C16" s="7" t="inlineStr">
        <is>
          <t>Cache-write share if caching</t>
        </is>
      </c>
      <c r="D16" s="11" t="n">
        <v>0.05</v>
      </c>
    </row>
    <row r="17" ht="18" customHeight="1">
      <c r="C17" s="7" t="inlineStr">
        <is>
          <t>API retry rate</t>
        </is>
      </c>
      <c r="D17" s="11" t="n">
        <v>0.05</v>
      </c>
    </row>
    <row r="18" ht="18" customHeight="1">
      <c r="C18" s="7" t="inlineStr">
        <is>
          <t>Peak factor vs average</t>
        </is>
      </c>
      <c r="D18" s="9" t="n">
        <v>10</v>
      </c>
    </row>
    <row r="19" ht="18" customHeight="1"/>
    <row r="20" ht="18" customHeight="1">
      <c r="C20" s="6" t="inlineStr">
        <is>
          <t>Currency, people and evaluation</t>
        </is>
      </c>
    </row>
    <row r="21" ht="18" customHeight="1">
      <c r="C21" s="7" t="inlineStr">
        <is>
          <t>USD per GBP</t>
        </is>
      </c>
      <c r="D21" s="12" t="n">
        <v>1.3553</v>
      </c>
    </row>
    <row r="22" ht="18" customHeight="1">
      <c r="C22" s="7" t="inlineStr">
        <is>
          <t>GBP per USD</t>
        </is>
      </c>
      <c r="D22" s="12" t="n">
        <v>0.7378440197742198</v>
      </c>
    </row>
    <row r="23" ht="18" customHeight="1">
      <c r="C23" s="7" t="inlineStr">
        <is>
          <t>Operator £ / hour</t>
        </is>
      </c>
      <c r="D23" s="13" t="n">
        <v>40</v>
      </c>
    </row>
    <row r="24" ht="18" customHeight="1">
      <c r="C24" s="7" t="inlineStr">
        <is>
          <t>Days / month</t>
        </is>
      </c>
      <c r="D24" s="9" t="n">
        <v>30</v>
      </c>
    </row>
    <row r="25" ht="18" customHeight="1">
      <c r="C25" s="7" t="inlineStr">
        <is>
          <t>Hours / month for warm GPU</t>
        </is>
      </c>
      <c r="D25" s="9" t="n">
        <v>730</v>
      </c>
    </row>
    <row r="26" ht="18" customHeight="1">
      <c r="C26" s="7" t="inlineStr">
        <is>
          <t>Weeks / month</t>
        </is>
      </c>
      <c r="D26" s="9" t="n">
        <v>4.333333333333333</v>
      </c>
    </row>
    <row r="27" ht="18" customHeight="1"/>
    <row r="28" ht="18" customHeight="1">
      <c r="C28" s="6" t="inlineStr">
        <is>
          <t>Direct API narrator — Anthropic Sonnet 5 ($ / MTok)</t>
        </is>
      </c>
    </row>
    <row r="29" ht="18" customHeight="1">
      <c r="C29" s="7" t="inlineStr">
        <is>
          <t>Base input</t>
        </is>
      </c>
      <c r="D29" s="14" t="n">
        <v>2</v>
      </c>
    </row>
    <row r="30" ht="18" customHeight="1">
      <c r="C30" s="7" t="inlineStr">
        <is>
          <t>Cache read</t>
        </is>
      </c>
      <c r="D30" s="14" t="n">
        <v>0.2</v>
      </c>
    </row>
    <row r="31" ht="18" customHeight="1">
      <c r="C31" s="7" t="inlineStr">
        <is>
          <t>5m cache write</t>
        </is>
      </c>
      <c r="D31" s="14" t="n">
        <v>2.5</v>
      </c>
    </row>
    <row r="32" ht="18" customHeight="1">
      <c r="C32" s="7" t="inlineStr">
        <is>
          <t>Output</t>
        </is>
      </c>
      <c r="D32" s="14" t="n">
        <v>10</v>
      </c>
    </row>
    <row r="33" ht="18" customHeight="1">
      <c r="C33" s="7" t="inlineStr">
        <is>
          <t>OpenRouter planning loading</t>
        </is>
      </c>
      <c r="D33" s="11" t="n">
        <v>0.055</v>
      </c>
    </row>
    <row r="34" ht="18" customHeight="1"/>
    <row r="35" ht="18" customHeight="1">
      <c r="C35" s="6" t="inlineStr">
        <is>
          <t>Hosted low-cost gate — Fireworks Nemotron ($ / MTok)</t>
        </is>
      </c>
    </row>
    <row r="36" ht="18" customHeight="1">
      <c r="C36" s="7" t="inlineStr">
        <is>
          <t>Gate input</t>
        </is>
      </c>
      <c r="D36" s="14" t="n">
        <v>0.05</v>
      </c>
    </row>
    <row r="37" ht="18" customHeight="1">
      <c r="C37" s="7" t="inlineStr">
        <is>
          <t>Gate cached input</t>
        </is>
      </c>
      <c r="D37" s="14" t="n">
        <v>0.01</v>
      </c>
    </row>
    <row r="38" ht="18" customHeight="1">
      <c r="C38" s="7" t="inlineStr">
        <is>
          <t>Gate output</t>
        </is>
      </c>
      <c r="D38" s="14" t="n">
        <v>0.2</v>
      </c>
    </row>
    <row r="39" ht="18" customHeight="1">
      <c r="C39" s="7" t="inlineStr">
        <is>
          <t>Gate input tokens / turn (two passes total)</t>
        </is>
      </c>
      <c r="D39" s="9" t="n">
        <v>2200</v>
      </c>
    </row>
    <row r="40" ht="18" customHeight="1">
      <c r="C40" s="7" t="inlineStr">
        <is>
          <t>Gate output tokens / turn (two passes total)</t>
        </is>
      </c>
      <c r="D40" s="9" t="n">
        <v>80</v>
      </c>
    </row>
    <row r="41" ht="18" customHeight="1">
      <c r="C41" s="7" t="inlineStr">
        <is>
          <t>Hosted-gate narrator retry rate</t>
        </is>
      </c>
      <c r="D41" s="11" t="n">
        <v>0.03</v>
      </c>
    </row>
    <row r="42" ht="18" customHeight="1">
      <c r="C42" s="7" t="inlineStr">
        <is>
          <t>Hosted-gate API fallback rate</t>
        </is>
      </c>
      <c r="D42" s="11" t="n">
        <v>0.01</v>
      </c>
    </row>
    <row r="43" ht="18" customHeight="1"/>
    <row r="44" ht="18" customHeight="1">
      <c r="C44" s="6" t="inlineStr">
        <is>
          <t>Self-host hardware and full-narrator capacity</t>
        </is>
      </c>
    </row>
    <row r="45" ht="18" customHeight="1">
      <c r="C45" s="7" t="inlineStr">
        <is>
          <t>Warden GPU sec / turn (two passes)</t>
        </is>
      </c>
      <c r="D45" s="9" t="n">
        <v>0.6</v>
      </c>
    </row>
    <row r="46" ht="18" customHeight="1">
      <c r="C46" s="7" t="inlineStr">
        <is>
          <t>RunPod warm A5000 24GB $ / GPU-hour</t>
        </is>
      </c>
      <c r="D46" s="14" t="n">
        <v>0.27</v>
      </c>
    </row>
    <row r="47" ht="18" customHeight="1">
      <c r="C47" s="7" t="inlineStr">
        <is>
          <t>RunPod serverless 24GB $ / active GPU-hour</t>
        </is>
      </c>
      <c r="D47" s="14" t="n">
        <v>0.6899999999999999</v>
      </c>
    </row>
    <row r="48" ht="18" customHeight="1">
      <c r="C48" s="7" t="inlineStr">
        <is>
          <t>Warden hosted-gate fallback rate</t>
        </is>
      </c>
      <c r="D48" s="11" t="n">
        <v>0.01</v>
      </c>
    </row>
    <row r="49" ht="18" customHeight="1">
      <c r="C49" s="7" t="inlineStr">
        <is>
          <t>7B planning output tokens / second / GPU</t>
        </is>
      </c>
      <c r="D49" s="9" t="n">
        <v>160</v>
      </c>
    </row>
    <row r="50" ht="18" customHeight="1">
      <c r="C50" s="7" t="inlineStr">
        <is>
          <t>7B A5000 24GB $ / GPU-hour</t>
        </is>
      </c>
      <c r="D50" s="14" t="n">
        <v>0.27</v>
      </c>
    </row>
    <row r="51" ht="18" customHeight="1">
      <c r="C51" s="7" t="inlineStr">
        <is>
          <t>7B API fallback / quality-load-shed rate (production-conservative)</t>
        </is>
      </c>
      <c r="D51" s="11" t="n">
        <v>0.85</v>
      </c>
    </row>
    <row r="52" ht="18" customHeight="1">
      <c r="C52" s="7" t="inlineStr">
        <is>
          <t>70B planning output tokens / second / GPU</t>
        </is>
      </c>
      <c r="D52" s="9" t="n">
        <v>50</v>
      </c>
    </row>
    <row r="53" ht="18" customHeight="1">
      <c r="C53" s="7" t="inlineStr">
        <is>
          <t>70B A100 PCIe 80GB $ / GPU-hour</t>
        </is>
      </c>
      <c r="D53" s="14" t="n">
        <v>1.39</v>
      </c>
    </row>
    <row r="54" ht="18" customHeight="1">
      <c r="C54" s="7" t="inlineStr">
        <is>
          <t>70B API fallback rate</t>
        </is>
      </c>
      <c r="D54" s="11" t="n">
        <v>0.1</v>
      </c>
    </row>
    <row r="55" ht="18" customHeight="1"/>
    <row r="56" ht="18" customHeight="1">
      <c r="C56" s="6" t="inlineStr">
        <is>
          <t>Image policy and weekly cap</t>
        </is>
      </c>
    </row>
    <row r="57" ht="18" customHeight="1">
      <c r="C57" s="7" t="inlineStr">
        <is>
          <t>Weekly active share of MAU</t>
        </is>
      </c>
      <c r="D57" s="11" t="n">
        <v>0.6</v>
      </c>
    </row>
    <row r="58" ht="18" customHeight="1">
      <c r="C58" s="7" t="inlineStr">
        <is>
          <t>Image cap / weekly active / week</t>
        </is>
      </c>
      <c r="D58" s="9" t="n">
        <v>1</v>
      </c>
    </row>
    <row r="59" ht="18" customHeight="1">
      <c r="C59" s="7" t="inlineStr">
        <is>
          <t>Soft-skip rate</t>
        </is>
      </c>
      <c r="D59" s="11" t="n">
        <v>0.7</v>
      </c>
    </row>
    <row r="60" ht="18" customHeight="1">
      <c r="C60" s="7" t="inlineStr">
        <is>
          <t>FLUX.2 Pro cash cost / first output MP ($)</t>
        </is>
      </c>
      <c r="D60" s="14" t="n">
        <v>0.03</v>
      </c>
    </row>
    <row r="61" ht="18" customHeight="1">
      <c r="C61" s="7" t="inlineStr">
        <is>
          <t>Provider delivery success rate</t>
        </is>
      </c>
      <c r="D61" s="11" t="n">
        <v>0.9</v>
      </c>
    </row>
    <row r="62" ht="18" customHeight="1">
      <c r="C62" s="7" t="inlineStr">
        <is>
          <t>Memorable keep rate after success</t>
        </is>
      </c>
      <c r="D62" s="11" t="n">
        <v>0.65</v>
      </c>
    </row>
  </sheetData>
  <mergeCells count="1">
    <mergeCell ref="C3:H3"/>
  </mergeCells>
  <pageMargins left="0.75" right="0.75" top="1" bottom="1" header="0.5" footer="0.5"/>
  <pageSetup orientation="landscape" fitToWidth="1"/>
  <headerFooter>
    <oddHeader/>
    <oddFooter>&amp;C&amp;A |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S5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20" customWidth="1" min="4" max="4"/>
    <col width="24" customWidth="1" min="5" max="5"/>
    <col width="48" customWidth="1" min="6" max="6"/>
    <col width="48" customWidth="1" min="7" max="7"/>
    <col width="42" customWidth="1" min="8" max="8"/>
    <col width="48" customWidth="1" min="9" max="9"/>
    <col width="47" customWidth="1" min="10" max="10"/>
    <col width="24" customWidth="1" min="11" max="11"/>
    <col width="17" customWidth="1" min="12" max="12"/>
    <col width="23" customWidth="1" min="13" max="13"/>
    <col width="10" customWidth="1" min="14" max="14"/>
    <col width="48" customWidth="1" min="15" max="15"/>
    <col width="48" customWidth="1" min="16" max="16"/>
    <col width="23" customWidth="1" min="17" max="17"/>
    <col width="13" customWidth="1" min="18" max="18"/>
    <col width="17" customWidth="1" min="19" max="19"/>
  </cols>
  <sheetData>
    <row r="1" ht="18" customHeight="1"/>
    <row r="2" ht="18" customHeight="1"/>
    <row r="3" ht="18" customHeight="1">
      <c r="C3" s="1" t="inlineStr">
        <is>
          <t>12-Month Incremental Cashflow — Own AI vs Paid APIs</t>
        </is>
      </c>
    </row>
    <row r="4" ht="18" customHeight="1"/>
    <row r="5" ht="18" customHeight="1">
      <c r="C5" s="2" t="inlineStr">
        <is>
          <t>Base case: 40 turns/MAU/month; 30% cache hit; 70% art soft-skip; £0.73784/$ planning FX.</t>
        </is>
      </c>
    </row>
    <row r="6" ht="18" customHeight="1">
      <c r="C6" s="3" t="inlineStr">
        <is>
          <t>(£ per month except where stated; annual column is 12× monthly)</t>
        </is>
      </c>
    </row>
    <row r="7" ht="18" customHeight="1"/>
    <row r="8" ht="18" customHeight="1">
      <c r="C8" s="15" t="inlineStr">
        <is>
          <t>Scenario</t>
        </is>
      </c>
      <c r="D8" s="15" t="inlineStr">
        <is>
          <t>MAU</t>
        </is>
      </c>
      <c r="E8" s="15" t="inlineStr">
        <is>
          <t>Turns / month</t>
        </is>
      </c>
      <c r="F8" s="15" t="inlineStr">
        <is>
          <t>Narrator</t>
        </is>
      </c>
      <c r="G8" s="15" t="inlineStr">
        <is>
          <t>Hosted gate</t>
        </is>
      </c>
      <c r="H8" s="15" t="inlineStr">
        <is>
          <t>Warm GPU</t>
        </is>
      </c>
      <c r="I8" s="15" t="inlineStr">
        <is>
          <t>GPU count</t>
        </is>
      </c>
      <c r="J8" s="15" t="inlineStr">
        <is>
          <t>GPU active h</t>
        </is>
      </c>
      <c r="K8" s="15" t="inlineStr">
        <is>
          <t>GPU paid h</t>
        </is>
      </c>
      <c r="L8" s="15" t="inlineStr">
        <is>
          <t>GPU idle h</t>
        </is>
      </c>
      <c r="M8" s="15" t="inlineStr">
        <is>
          <t>Operator</t>
        </is>
      </c>
      <c r="N8" s="15" t="inlineStr">
        <is>
          <t>Eval</t>
        </is>
      </c>
      <c r="O8" s="15" t="inlineStr">
        <is>
          <t>Failure fallback</t>
        </is>
      </c>
      <c r="P8" s="15" t="inlineStr">
        <is>
          <t>Art</t>
        </is>
      </c>
      <c r="Q8" s="15" t="inlineStr">
        <is>
          <t>Total / month</t>
        </is>
      </c>
      <c r="R8" s="15" t="inlineStr">
        <is>
          <t>Total / 12m</t>
        </is>
      </c>
      <c r="S8" s="15" t="inlineStr">
        <is>
          <t>£ / MAU / month</t>
        </is>
      </c>
    </row>
    <row r="9" ht="18" customHeight="1">
      <c r="C9" s="5" t="inlineStr">
        <is>
          <t>A — OpenRouter-only</t>
        </is>
      </c>
      <c r="D9" s="16">
        <f>Assumptions!$D$9</f>
        <v/>
      </c>
      <c r="E9" s="17">
        <f>D9*Assumptions!$D$12</f>
        <v/>
      </c>
      <c r="F9" s="18">
        <f>E9*(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$33))*(1+Assumptions!$D$17)*Assumptions!$D$22</f>
        <v/>
      </c>
      <c r="G9" s="18" t="n">
        <v>0</v>
      </c>
      <c r="H9" s="18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8">
        <f>1*Assumptions!$D$23</f>
        <v/>
      </c>
      <c r="N9" s="18">
        <f>25</f>
        <v/>
      </c>
      <c r="O9" s="18" t="n">
        <v>0</v>
      </c>
      <c r="P9" s="18">
        <f>D9*Assumptions!$D$57*Assumptions!$D$58*Assumptions!$D$26*(1-Assumptions!$D$59)*Assumptions!$D$60*Assumptions!$D$22</f>
        <v/>
      </c>
      <c r="Q9" s="18">
        <f>SUM(F9:H9,M9:P9)</f>
        <v/>
      </c>
      <c r="R9" s="18">
        <f>Q9*12</f>
        <v/>
      </c>
      <c r="S9" s="18">
        <f>Q9/D9</f>
        <v/>
      </c>
    </row>
    <row r="10" ht="18" customHeight="1">
      <c r="C10" s="5" t="inlineStr">
        <is>
          <t>A — OpenRouter-only</t>
        </is>
      </c>
      <c r="D10" s="16">
        <f>Assumptions!$D$10</f>
        <v/>
      </c>
      <c r="E10" s="17">
        <f>D10*Assumptions!$D$12</f>
        <v/>
      </c>
      <c r="F10" s="18">
        <f>E10*(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$33))*(1+Assumptions!$D$17)*Assumptions!$D$22</f>
        <v/>
      </c>
      <c r="G10" s="18" t="n">
        <v>0</v>
      </c>
      <c r="H10" s="18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8">
        <f>1*Assumptions!$D$23</f>
        <v/>
      </c>
      <c r="N10" s="18">
        <f>25</f>
        <v/>
      </c>
      <c r="O10" s="18" t="n">
        <v>0</v>
      </c>
      <c r="P10" s="18">
        <f>D10*Assumptions!$D$57*Assumptions!$D$58*Assumptions!$D$26*(1-Assumptions!$D$59)*Assumptions!$D$60*Assumptions!$D$22</f>
        <v/>
      </c>
      <c r="Q10" s="18">
        <f>SUM(F10:H10,M10:P10)</f>
        <v/>
      </c>
      <c r="R10" s="18">
        <f>Q10*12</f>
        <v/>
      </c>
      <c r="S10" s="18">
        <f>Q10/D10</f>
        <v/>
      </c>
    </row>
    <row r="11" ht="18" customHeight="1">
      <c r="C11" s="5" t="inlineStr">
        <is>
          <t>A — OpenRouter-only</t>
        </is>
      </c>
      <c r="D11" s="16">
        <f>Assumptions!$D$11</f>
        <v/>
      </c>
      <c r="E11" s="17">
        <f>D11*Assumptions!$D$12</f>
        <v/>
      </c>
      <c r="F11" s="18">
        <f>E11*(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$33))*(1+Assumptions!$D$17)*Assumptions!$D$22</f>
        <v/>
      </c>
      <c r="G11" s="18" t="n">
        <v>0</v>
      </c>
      <c r="H11" s="18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8">
        <f>1*Assumptions!$D$23</f>
        <v/>
      </c>
      <c r="N11" s="18">
        <f>25</f>
        <v/>
      </c>
      <c r="O11" s="18" t="n">
        <v>0</v>
      </c>
      <c r="P11" s="18">
        <f>D11*Assumptions!$D$57*Assumptions!$D$58*Assumptions!$D$26*(1-Assumptions!$D$59)*Assumptions!$D$60*Assumptions!$D$22</f>
        <v/>
      </c>
      <c r="Q11" s="18">
        <f>SUM(F11:H11,M11:P11)</f>
        <v/>
      </c>
      <c r="R11" s="18">
        <f>Q11*12</f>
        <v/>
      </c>
      <c r="S11" s="18">
        <f>Q11/D11</f>
        <v/>
      </c>
    </row>
    <row r="12" ht="18" customHeight="1"/>
    <row r="13" ht="18" customHeight="1">
      <c r="C13" s="5" t="inlineStr">
        <is>
          <t>B — Direct APIs + prompt cache</t>
        </is>
      </c>
      <c r="D13" s="16">
        <f>Assumptions!$D$9</f>
        <v/>
      </c>
      <c r="E13" s="17">
        <f>D13*Assumptions!$D$12</f>
        <v/>
      </c>
      <c r="F13" s="18">
        <f>E13*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$17)*Assumptions!$D$22</f>
        <v/>
      </c>
      <c r="G13" s="18" t="n">
        <v>0</v>
      </c>
      <c r="H13" s="18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8">
        <f>2*Assumptions!$D$23</f>
        <v/>
      </c>
      <c r="N13" s="18">
        <f>40</f>
        <v/>
      </c>
      <c r="O13" s="18" t="n">
        <v>0</v>
      </c>
      <c r="P13" s="18">
        <f>D13*Assumptions!$D$57*Assumptions!$D$58*Assumptions!$D$26*(1-Assumptions!$D$59)*Assumptions!$D$60*Assumptions!$D$22</f>
        <v/>
      </c>
      <c r="Q13" s="18">
        <f>SUM(F13:H13,M13:P13)</f>
        <v/>
      </c>
      <c r="R13" s="18">
        <f>Q13*12</f>
        <v/>
      </c>
      <c r="S13" s="18">
        <f>Q13/D13</f>
        <v/>
      </c>
    </row>
    <row r="14" ht="18" customHeight="1">
      <c r="C14" s="5" t="inlineStr">
        <is>
          <t>B — Direct APIs + prompt cache</t>
        </is>
      </c>
      <c r="D14" s="16">
        <f>Assumptions!$D$10</f>
        <v/>
      </c>
      <c r="E14" s="17">
        <f>D14*Assumptions!$D$12</f>
        <v/>
      </c>
      <c r="F14" s="18">
        <f>E14*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$17)*Assumptions!$D$22</f>
        <v/>
      </c>
      <c r="G14" s="18" t="n">
        <v>0</v>
      </c>
      <c r="H14" s="18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8">
        <f>2*Assumptions!$D$23</f>
        <v/>
      </c>
      <c r="N14" s="18">
        <f>40</f>
        <v/>
      </c>
      <c r="O14" s="18" t="n">
        <v>0</v>
      </c>
      <c r="P14" s="18">
        <f>D14*Assumptions!$D$57*Assumptions!$D$58*Assumptions!$D$26*(1-Assumptions!$D$59)*Assumptions!$D$60*Assumptions!$D$22</f>
        <v/>
      </c>
      <c r="Q14" s="18">
        <f>SUM(F14:H14,M14:P14)</f>
        <v/>
      </c>
      <c r="R14" s="18">
        <f>Q14*12</f>
        <v/>
      </c>
      <c r="S14" s="18">
        <f>Q14/D14</f>
        <v/>
      </c>
    </row>
    <row r="15" ht="18" customHeight="1">
      <c r="C15" s="5" t="inlineStr">
        <is>
          <t>B — Direct APIs + prompt cache</t>
        </is>
      </c>
      <c r="D15" s="16">
        <f>Assumptions!$D$11</f>
        <v/>
      </c>
      <c r="E15" s="17">
        <f>D15*Assumptions!$D$12</f>
        <v/>
      </c>
      <c r="F15" s="18">
        <f>E15*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$17)*Assumptions!$D$22</f>
        <v/>
      </c>
      <c r="G15" s="18" t="n">
        <v>0</v>
      </c>
      <c r="H15" s="18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8">
        <f>2*Assumptions!$D$23</f>
        <v/>
      </c>
      <c r="N15" s="18">
        <f>40</f>
        <v/>
      </c>
      <c r="O15" s="18" t="n">
        <v>0</v>
      </c>
      <c r="P15" s="18">
        <f>D15*Assumptions!$D$57*Assumptions!$D$58*Assumptions!$D$26*(1-Assumptions!$D$59)*Assumptions!$D$60*Assumptions!$D$22</f>
        <v/>
      </c>
      <c r="Q15" s="18">
        <f>SUM(F15:H15,M15:P15)</f>
        <v/>
      </c>
      <c r="R15" s="18">
        <f>Q15*12</f>
        <v/>
      </c>
      <c r="S15" s="18">
        <f>Q15/D15</f>
        <v/>
      </c>
    </row>
    <row r="16" ht="18" customHeight="1"/>
    <row r="17" ht="18" customHeight="1">
      <c r="C17" s="5" t="inlineStr">
        <is>
          <t>C — Hosted low-cost gates + mid narrator</t>
        </is>
      </c>
      <c r="D17" s="16">
        <f>Assumptions!$D$9</f>
        <v/>
      </c>
      <c r="E17" s="17">
        <f>D17*Assumptions!$D$12</f>
        <v/>
      </c>
      <c r="F17" s="18">
        <f>E17*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$41)*Assumptions!$D$22</f>
        <v/>
      </c>
      <c r="G17" s="18">
        <f>E17*((Assumptions!$D$39/1000000)*(Assumptions!$D$15*Assumptions!$D$37+(1-Assumptions!$D$15)*Assumptions!$D$36)+(Assumptions!$D$40/1000000)*Assumptions!$D$38)*Assumptions!$D$22</f>
        <v/>
      </c>
      <c r="H17" s="18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8">
        <f>3*Assumptions!$D$23</f>
        <v/>
      </c>
      <c r="N17" s="18">
        <f>60</f>
        <v/>
      </c>
      <c r="O17" s="18">
        <f>E17*Assumptions!$D$42*((Assumptions!$D$13/1000000)*(Assumptions!$D$15*Assumptions!$D$30+IF(Assumptions!$D$15&gt;0,Assumptions!$D$16*Assumptions!$D$31,0)+(1-Assumptions!$D$15-IF(Assumptions!$D$15&gt;0,Assumptions!$D$16,0))*Assumptions!$D$29)+(Assumptions!$D$14/1000000)*Assumptions!$D$32)*Assumptions!$D$22</f>
        <v/>
      </c>
      <c r="P17" s="18">
        <f>D17*Assumptions!$D$57*Assumptions!$D$58*Assumptions!$D$26*(1-Assumptions!$D$59)*Assumptions!$D$60*Assumptions!$D$22</f>
        <v/>
      </c>
      <c r="Q17" s="18">
        <f>SUM(F17:H17,M17:P17)</f>
        <v/>
      </c>
      <c r="R17" s="18">
        <f>Q17*12</f>
        <v/>
      </c>
      <c r="S17" s="18">
        <f>Q17/D17</f>
        <v/>
      </c>
    </row>
    <row r="18" ht="18" customHeight="1">
      <c r="C18" s="5" t="inlineStr">
        <is>
          <t>C — Hosted low-cost gates + mid narrator</t>
        </is>
      </c>
      <c r="D18" s="16">
        <f>Assumptions!$D$10</f>
        <v/>
      </c>
      <c r="E18" s="17">
        <f>D18*Assumptions!$D$12</f>
        <v/>
      </c>
      <c r="F18" s="18">
        <f>E18*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$41)*Assumptions!$D$22</f>
        <v/>
      </c>
      <c r="G18" s="18">
        <f>E18*((Assumptions!$D$39/1000000)*(Assumptions!$D$15*Assumptions!$D$37+(1-Assumptions!$D$15)*Assumptions!$D$36)+(Assumptions!$D$40/1000000)*Assumptions!$D$38)*Assumptions!$D$22</f>
        <v/>
      </c>
      <c r="H18" s="18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8">
        <f>3*Assumptions!$D$23</f>
        <v/>
      </c>
      <c r="N18" s="18">
        <f>60</f>
        <v/>
      </c>
      <c r="O18" s="18">
        <f>E18*Assumptions!$D$42*((Assumptions!$D$13/1000000)*(Assumptions!$D$15*Assumptions!$D$30+IF(Assumptions!$D$15&gt;0,Assumptions!$D$16*Assumptions!$D$31,0)+(1-Assumptions!$D$15-IF(Assumptions!$D$15&gt;0,Assumptions!$D$16,0))*Assumptions!$D$29)+(Assumptions!$D$14/1000000)*Assumptions!$D$32)*Assumptions!$D$22</f>
        <v/>
      </c>
      <c r="P18" s="18">
        <f>D18*Assumptions!$D$57*Assumptions!$D$58*Assumptions!$D$26*(1-Assumptions!$D$59)*Assumptions!$D$60*Assumptions!$D$22</f>
        <v/>
      </c>
      <c r="Q18" s="18">
        <f>SUM(F18:H18,M18:P18)</f>
        <v/>
      </c>
      <c r="R18" s="18">
        <f>Q18*12</f>
        <v/>
      </c>
      <c r="S18" s="18">
        <f>Q18/D18</f>
        <v/>
      </c>
    </row>
    <row r="19" ht="18" customHeight="1">
      <c r="C19" s="5" t="inlineStr">
        <is>
          <t>C — Hosted low-cost gates + mid narrator</t>
        </is>
      </c>
      <c r="D19" s="16">
        <f>Assumptions!$D$11</f>
        <v/>
      </c>
      <c r="E19" s="17">
        <f>D19*Assumptions!$D$12</f>
        <v/>
      </c>
      <c r="F19" s="18">
        <f>E19*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$41)*Assumptions!$D$22</f>
        <v/>
      </c>
      <c r="G19" s="18">
        <f>E19*((Assumptions!$D$39/1000000)*(Assumptions!$D$15*Assumptions!$D$37+(1-Assumptions!$D$15)*Assumptions!$D$36)+(Assumptions!$D$40/1000000)*Assumptions!$D$38)*Assumptions!$D$22</f>
        <v/>
      </c>
      <c r="H19" s="18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8">
        <f>3*Assumptions!$D$23</f>
        <v/>
      </c>
      <c r="N19" s="18">
        <f>60</f>
        <v/>
      </c>
      <c r="O19" s="18">
        <f>E19*Assumptions!$D$42*((Assumptions!$D$13/1000000)*(Assumptions!$D$15*Assumptions!$D$30+IF(Assumptions!$D$15&gt;0,Assumptions!$D$16*Assumptions!$D$31,0)+(1-Assumptions!$D$15-IF(Assumptions!$D$15&gt;0,Assumptions!$D$16,0))*Assumptions!$D$29)+(Assumptions!$D$14/1000000)*Assumptions!$D$32)*Assumptions!$D$22</f>
        <v/>
      </c>
      <c r="P19" s="18">
        <f>D19*Assumptions!$D$57*Assumptions!$D$58*Assumptions!$D$26*(1-Assumptions!$D$59)*Assumptions!$D$60*Assumptions!$D$22</f>
        <v/>
      </c>
      <c r="Q19" s="18">
        <f>SUM(F19:H19,M19:P19)</f>
        <v/>
      </c>
      <c r="R19" s="18">
        <f>Q19*12</f>
        <v/>
      </c>
      <c r="S19" s="18">
        <f>Q19/D19</f>
        <v/>
      </c>
    </row>
    <row r="20" ht="18" customHeight="1"/>
    <row r="21" ht="18" customHeight="1">
      <c r="C21" s="5" t="inlineStr">
        <is>
          <t>D — Self-host Continuity Warden only</t>
        </is>
      </c>
      <c r="D21" s="16">
        <f>Assumptions!$D$9</f>
        <v/>
      </c>
      <c r="E21" s="17">
        <f>D21*Assumptions!$D$12</f>
        <v/>
      </c>
      <c r="F21" s="18">
        <f>E21*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$17)*Assumptions!$D$22</f>
        <v/>
      </c>
      <c r="G21" s="18" t="n">
        <v>0</v>
      </c>
      <c r="H21" s="18">
        <f>K21*Assumptions!$D$46*Assumptions!$D$22</f>
        <v/>
      </c>
      <c r="I21" s="19">
        <f>MAX(1,ROUNDUP((E21/(Assumptions!$D$24*24*3600))*Assumptions!$D$18*Assumptions!$D$45,0))</f>
        <v/>
      </c>
      <c r="J21" s="19">
        <f>E21*Assumptions!$D$45/3600</f>
        <v/>
      </c>
      <c r="K21" s="19">
        <f>I21*Assumptions!$D$25</f>
        <v/>
      </c>
      <c r="L21" s="19">
        <f>MAX(0,K21-J21)</f>
        <v/>
      </c>
      <c r="M21" s="18">
        <f>6*Assumptions!$D$23</f>
        <v/>
      </c>
      <c r="N21" s="18">
        <f>100</f>
        <v/>
      </c>
      <c r="O21" s="18">
        <f>E21*Assumptions!$D$48*((Assumptions!$D$39/1000000)*(Assumptions!$D$15*Assumptions!$D$37+(1-Assumptions!$D$15)*Assumptions!$D$36)+(Assumptions!$D$40/1000000)*Assumptions!$D$38)*Assumptions!$D$22</f>
        <v/>
      </c>
      <c r="P21" s="18">
        <f>D21*Assumptions!$D$57*Assumptions!$D$58*Assumptions!$D$26*(1-Assumptions!$D$59)*Assumptions!$D$60*Assumptions!$D$22</f>
        <v/>
      </c>
      <c r="Q21" s="18">
        <f>SUM(F21:H21,M21:P21)</f>
        <v/>
      </c>
      <c r="R21" s="18">
        <f>Q21*12</f>
        <v/>
      </c>
      <c r="S21" s="18">
        <f>Q21/D21</f>
        <v/>
      </c>
    </row>
    <row r="22" ht="18" customHeight="1">
      <c r="C22" s="5" t="inlineStr">
        <is>
          <t>D — Self-host Continuity Warden only</t>
        </is>
      </c>
      <c r="D22" s="16">
        <f>Assumptions!$D$10</f>
        <v/>
      </c>
      <c r="E22" s="17">
        <f>D22*Assumptions!$D$12</f>
        <v/>
      </c>
      <c r="F22" s="18">
        <f>E22*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$17)*Assumptions!$D$22</f>
        <v/>
      </c>
      <c r="G22" s="18" t="n">
        <v>0</v>
      </c>
      <c r="H22" s="18">
        <f>K22*Assumptions!$D$46*Assumptions!$D$22</f>
        <v/>
      </c>
      <c r="I22" s="19">
        <f>MAX(1,ROUNDUP((E22/(Assumptions!$D$24*24*3600))*Assumptions!$D$18*Assumptions!$D$45,0))</f>
        <v/>
      </c>
      <c r="J22" s="19">
        <f>E22*Assumptions!$D$45/3600</f>
        <v/>
      </c>
      <c r="K22" s="19">
        <f>I22*Assumptions!$D$25</f>
        <v/>
      </c>
      <c r="L22" s="19">
        <f>MAX(0,K22-J22)</f>
        <v/>
      </c>
      <c r="M22" s="18">
        <f>6*Assumptions!$D$23</f>
        <v/>
      </c>
      <c r="N22" s="18">
        <f>100</f>
        <v/>
      </c>
      <c r="O22" s="18">
        <f>E22*Assumptions!$D$48*((Assumptions!$D$39/1000000)*(Assumptions!$D$15*Assumptions!$D$37+(1-Assumptions!$D$15)*Assumptions!$D$36)+(Assumptions!$D$40/1000000)*Assumptions!$D$38)*Assumptions!$D$22</f>
        <v/>
      </c>
      <c r="P22" s="18">
        <f>D22*Assumptions!$D$57*Assumptions!$D$58*Assumptions!$D$26*(1-Assumptions!$D$59)*Assumptions!$D$60*Assumptions!$D$22</f>
        <v/>
      </c>
      <c r="Q22" s="18">
        <f>SUM(F22:H22,M22:P22)</f>
        <v/>
      </c>
      <c r="R22" s="18">
        <f>Q22*12</f>
        <v/>
      </c>
      <c r="S22" s="18">
        <f>Q22/D22</f>
        <v/>
      </c>
    </row>
    <row r="23" ht="18" customHeight="1">
      <c r="C23" s="5" t="inlineStr">
        <is>
          <t>D — Self-host Continuity Warden only</t>
        </is>
      </c>
      <c r="D23" s="16">
        <f>Assumptions!$D$11</f>
        <v/>
      </c>
      <c r="E23" s="17">
        <f>D23*Assumptions!$D$12</f>
        <v/>
      </c>
      <c r="F23" s="18">
        <f>E23*((Assumptions!$D$13/1000000)*(Assumptions!$D$15*Assumptions!$D$30+IF(Assumptions!$D$15&gt;0,Assumptions!$D$16*Assumptions!$D$31,0)+(1-Assumptions!$D$15-IF(Assumptions!$D$15&gt;0,Assumptions!$D$16,0))*Assumptions!$D$29)+(Assumptions!$D$14/1000000)*Assumptions!$D$32)*(1+Assumptions!$D$17)*Assumptions!$D$22</f>
        <v/>
      </c>
      <c r="G23" s="18" t="n">
        <v>0</v>
      </c>
      <c r="H23" s="18">
        <f>K23*Assumptions!$D$46*Assumptions!$D$22</f>
        <v/>
      </c>
      <c r="I23" s="19">
        <f>MAX(1,ROUNDUP((E23/(Assumptions!$D$24*24*3600))*Assumptions!$D$18*Assumptions!$D$45,0))</f>
        <v/>
      </c>
      <c r="J23" s="19">
        <f>E23*Assumptions!$D$45/3600</f>
        <v/>
      </c>
      <c r="K23" s="19">
        <f>I23*Assumptions!$D$25</f>
        <v/>
      </c>
      <c r="L23" s="19">
        <f>MAX(0,K23-J23)</f>
        <v/>
      </c>
      <c r="M23" s="18">
        <f>6*Assumptions!$D$23</f>
        <v/>
      </c>
      <c r="N23" s="18">
        <f>100</f>
        <v/>
      </c>
      <c r="O23" s="18">
        <f>E23*Assumptions!$D$48*((Assumptions!$D$39/1000000)*(Assumptions!$D$15*Assumptions!$D$37+(1-Assumptions!$D$15)*Assumptions!$D$36)+(Assumptions!$D$40/1000000)*Assumptions!$D$38)*Assumptions!$D$22</f>
        <v/>
      </c>
      <c r="P23" s="18">
        <f>D23*Assumptions!$D$57*Assumptions!$D$58*Assumptions!$D$26*(1-Assumptions!$D$59)*Assumptions!$D$60*Assumptions!$D$22</f>
        <v/>
      </c>
      <c r="Q23" s="18">
        <f>SUM(F23:H23,M23:P23)</f>
        <v/>
      </c>
      <c r="R23" s="18">
        <f>Q23*12</f>
        <v/>
      </c>
      <c r="S23" s="18">
        <f>Q23/D23</f>
        <v/>
      </c>
    </row>
    <row r="24" ht="18" customHeight="1"/>
    <row r="25" ht="18" customHeight="1">
      <c r="C25" s="5" t="inlineStr">
        <is>
          <t>E1 — Self-host full 7B narrator (production fallback)</t>
        </is>
      </c>
      <c r="D25" s="16">
        <f>Assumptions!$D$9</f>
        <v/>
      </c>
      <c r="E25" s="17">
        <f>D25*Assumptions!$D$12</f>
        <v/>
      </c>
      <c r="F25" s="18" t="n">
        <v>0</v>
      </c>
      <c r="G25" s="18" t="n">
        <v>0</v>
      </c>
      <c r="H25" s="18">
        <f>K25*Assumptions!$D$50*Assumptions!$D$22</f>
        <v/>
      </c>
      <c r="I25" s="19">
        <f>MAX(1,ROUNDUP(((E25/(Assumptions!$D$24*24*3600))*Assumptions!$D$18*Assumptions!$D$14)/Assumptions!$D$49,0))</f>
        <v/>
      </c>
      <c r="J25" s="19">
        <f>E25*Assumptions!$D$14/Assumptions!$D$49/3600</f>
        <v/>
      </c>
      <c r="K25" s="19">
        <f>I25*Assumptions!$D$25</f>
        <v/>
      </c>
      <c r="L25" s="19">
        <f>MAX(0,K25-J25)</f>
        <v/>
      </c>
      <c r="M25" s="18">
        <f>8*Assumptions!$D$23</f>
        <v/>
      </c>
      <c r="N25" s="18">
        <f>150</f>
        <v/>
      </c>
      <c r="O25" s="18">
        <f>E25*Assumptions!$D$51*((Assumptions!$D$13/1000000)*(Assumptions!$D$15*Assumptions!$D$30+IF(Assumptions!$D$15&gt;0,Assumptions!$D$16*Assumptions!$D$31,0)+(1-Assumptions!$D$15-IF(Assumptions!$D$15&gt;0,Assumptions!$D$16,0))*Assumptions!$D$29)+(Assumptions!$D$14/1000000)*Assumptions!$D$32)*Assumptions!$D$22</f>
        <v/>
      </c>
      <c r="P25" s="18">
        <f>D25*Assumptions!$D$57*Assumptions!$D$58*Assumptions!$D$26*(1-Assumptions!$D$59)*Assumptions!$D$60*Assumptions!$D$22</f>
        <v/>
      </c>
      <c r="Q25" s="18">
        <f>SUM(F25:H25,M25:P25)</f>
        <v/>
      </c>
      <c r="R25" s="18">
        <f>Q25*12</f>
        <v/>
      </c>
      <c r="S25" s="18">
        <f>Q25/D25</f>
        <v/>
      </c>
    </row>
    <row r="26" ht="18" customHeight="1">
      <c r="C26" s="5" t="inlineStr">
        <is>
          <t>E1 — Self-host full 7B narrator (production fallback)</t>
        </is>
      </c>
      <c r="D26" s="16">
        <f>Assumptions!$D$10</f>
        <v/>
      </c>
      <c r="E26" s="17">
        <f>D26*Assumptions!$D$12</f>
        <v/>
      </c>
      <c r="F26" s="18" t="n">
        <v>0</v>
      </c>
      <c r="G26" s="18" t="n">
        <v>0</v>
      </c>
      <c r="H26" s="18">
        <f>K26*Assumptions!$D$50*Assumptions!$D$22</f>
        <v/>
      </c>
      <c r="I26" s="19">
        <f>MAX(1,ROUNDUP(((E26/(Assumptions!$D$24*24*3600))*Assumptions!$D$18*Assumptions!$D$14)/Assumptions!$D$49,0))</f>
        <v/>
      </c>
      <c r="J26" s="19">
        <f>E26*Assumptions!$D$14/Assumptions!$D$49/3600</f>
        <v/>
      </c>
      <c r="K26" s="19">
        <f>I26*Assumptions!$D$25</f>
        <v/>
      </c>
      <c r="L26" s="19">
        <f>MAX(0,K26-J26)</f>
        <v/>
      </c>
      <c r="M26" s="18">
        <f>8*Assumptions!$D$23</f>
        <v/>
      </c>
      <c r="N26" s="18">
        <f>150</f>
        <v/>
      </c>
      <c r="O26" s="18">
        <f>E26*Assumptions!$D$51*((Assumptions!$D$13/1000000)*(Assumptions!$D$15*Assumptions!$D$30+IF(Assumptions!$D$15&gt;0,Assumptions!$D$16*Assumptions!$D$31,0)+(1-Assumptions!$D$15-IF(Assumptions!$D$15&gt;0,Assumptions!$D$16,0))*Assumptions!$D$29)+(Assumptions!$D$14/1000000)*Assumptions!$D$32)*Assumptions!$D$22</f>
        <v/>
      </c>
      <c r="P26" s="18">
        <f>D26*Assumptions!$D$57*Assumptions!$D$58*Assumptions!$D$26*(1-Assumptions!$D$59)*Assumptions!$D$60*Assumptions!$D$22</f>
        <v/>
      </c>
      <c r="Q26" s="18">
        <f>SUM(F26:H26,M26:P26)</f>
        <v/>
      </c>
      <c r="R26" s="18">
        <f>Q26*12</f>
        <v/>
      </c>
      <c r="S26" s="18">
        <f>Q26/D26</f>
        <v/>
      </c>
    </row>
    <row r="27" ht="18" customHeight="1">
      <c r="C27" s="5" t="inlineStr">
        <is>
          <t>E1 — Self-host full 7B narrator (production fallback)</t>
        </is>
      </c>
      <c r="D27" s="16">
        <f>Assumptions!$D$11</f>
        <v/>
      </c>
      <c r="E27" s="17">
        <f>D27*Assumptions!$D$12</f>
        <v/>
      </c>
      <c r="F27" s="18" t="n">
        <v>0</v>
      </c>
      <c r="G27" s="18" t="n">
        <v>0</v>
      </c>
      <c r="H27" s="18">
        <f>K27*Assumptions!$D$50*Assumptions!$D$22</f>
        <v/>
      </c>
      <c r="I27" s="19">
        <f>MAX(1,ROUNDUP(((E27/(Assumptions!$D$24*24*3600))*Assumptions!$D$18*Assumptions!$D$14)/Assumptions!$D$49,0))</f>
        <v/>
      </c>
      <c r="J27" s="19">
        <f>E27*Assumptions!$D$14/Assumptions!$D$49/3600</f>
        <v/>
      </c>
      <c r="K27" s="19">
        <f>I27*Assumptions!$D$25</f>
        <v/>
      </c>
      <c r="L27" s="19">
        <f>MAX(0,K27-J27)</f>
        <v/>
      </c>
      <c r="M27" s="18">
        <f>8*Assumptions!$D$23</f>
        <v/>
      </c>
      <c r="N27" s="18">
        <f>150</f>
        <v/>
      </c>
      <c r="O27" s="18">
        <f>E27*Assumptions!$D$51*((Assumptions!$D$13/1000000)*(Assumptions!$D$15*Assumptions!$D$30+IF(Assumptions!$D$15&gt;0,Assumptions!$D$16*Assumptions!$D$31,0)+(1-Assumptions!$D$15-IF(Assumptions!$D$15&gt;0,Assumptions!$D$16,0))*Assumptions!$D$29)+(Assumptions!$D$14/1000000)*Assumptions!$D$32)*Assumptions!$D$22</f>
        <v/>
      </c>
      <c r="P27" s="18">
        <f>D27*Assumptions!$D$57*Assumptions!$D$58*Assumptions!$D$26*(1-Assumptions!$D$59)*Assumptions!$D$60*Assumptions!$D$22</f>
        <v/>
      </c>
      <c r="Q27" s="18">
        <f>SUM(F27:H27,M27:P27)</f>
        <v/>
      </c>
      <c r="R27" s="18">
        <f>Q27*12</f>
        <v/>
      </c>
      <c r="S27" s="18">
        <f>Q27/D27</f>
        <v/>
      </c>
    </row>
    <row r="28" ht="18" customHeight="1"/>
    <row r="29" ht="18" customHeight="1">
      <c r="C29" s="5" t="inlineStr">
        <is>
          <t>E2 — Self-host full 70B narrator</t>
        </is>
      </c>
      <c r="D29" s="16">
        <f>Assumptions!$D$9</f>
        <v/>
      </c>
      <c r="E29" s="17">
        <f>D29*Assumptions!$D$12</f>
        <v/>
      </c>
      <c r="F29" s="18" t="n">
        <v>0</v>
      </c>
      <c r="G29" s="18" t="n">
        <v>0</v>
      </c>
      <c r="H29" s="18">
        <f>K29*Assumptions!$D$53*Assumptions!$D$22</f>
        <v/>
      </c>
      <c r="I29" s="19">
        <f>MAX(1,ROUNDUP(((E29/(Assumptions!$D$24*24*3600))*Assumptions!$D$18*Assumptions!$D$14)/Assumptions!$D$52,0))</f>
        <v/>
      </c>
      <c r="J29" s="19">
        <f>E29*Assumptions!$D$14/Assumptions!$D$52/3600</f>
        <v/>
      </c>
      <c r="K29" s="19">
        <f>I29*Assumptions!$D$25</f>
        <v/>
      </c>
      <c r="L29" s="19">
        <f>MAX(0,K29-J29)</f>
        <v/>
      </c>
      <c r="M29" s="18">
        <f>14*Assumptions!$D$23</f>
        <v/>
      </c>
      <c r="N29" s="18">
        <f>300</f>
        <v/>
      </c>
      <c r="O29" s="18">
        <f>E29*Assumptions!$D$54*((Assumptions!$D$13/1000000)*(Assumptions!$D$15*Assumptions!$D$30+IF(Assumptions!$D$15&gt;0,Assumptions!$D$16*Assumptions!$D$31,0)+(1-Assumptions!$D$15-IF(Assumptions!$D$15&gt;0,Assumptions!$D$16,0))*Assumptions!$D$29)+(Assumptions!$D$14/1000000)*Assumptions!$D$32)*Assumptions!$D$22</f>
        <v/>
      </c>
      <c r="P29" s="18">
        <f>D29*Assumptions!$D$57*Assumptions!$D$58*Assumptions!$D$26*(1-Assumptions!$D$59)*Assumptions!$D$60*Assumptions!$D$22</f>
        <v/>
      </c>
      <c r="Q29" s="18">
        <f>SUM(F29:H29,M29:P29)</f>
        <v/>
      </c>
      <c r="R29" s="18">
        <f>Q29*12</f>
        <v/>
      </c>
      <c r="S29" s="18">
        <f>Q29/D29</f>
        <v/>
      </c>
    </row>
    <row r="30" ht="18" customHeight="1">
      <c r="C30" s="5" t="inlineStr">
        <is>
          <t>E2 — Self-host full 70B narrator</t>
        </is>
      </c>
      <c r="D30" s="16">
        <f>Assumptions!$D$10</f>
        <v/>
      </c>
      <c r="E30" s="17">
        <f>D30*Assumptions!$D$12</f>
        <v/>
      </c>
      <c r="F30" s="18" t="n">
        <v>0</v>
      </c>
      <c r="G30" s="18" t="n">
        <v>0</v>
      </c>
      <c r="H30" s="18">
        <f>K30*Assumptions!$D$53*Assumptions!$D$22</f>
        <v/>
      </c>
      <c r="I30" s="19">
        <f>MAX(1,ROUNDUP(((E30/(Assumptions!$D$24*24*3600))*Assumptions!$D$18*Assumptions!$D$14)/Assumptions!$D$52,0))</f>
        <v/>
      </c>
      <c r="J30" s="19">
        <f>E30*Assumptions!$D$14/Assumptions!$D$52/3600</f>
        <v/>
      </c>
      <c r="K30" s="19">
        <f>I30*Assumptions!$D$25</f>
        <v/>
      </c>
      <c r="L30" s="19">
        <f>MAX(0,K30-J30)</f>
        <v/>
      </c>
      <c r="M30" s="18">
        <f>14*Assumptions!$D$23</f>
        <v/>
      </c>
      <c r="N30" s="18">
        <f>300</f>
        <v/>
      </c>
      <c r="O30" s="18">
        <f>E30*Assumptions!$D$54*((Assumptions!$D$13/1000000)*(Assumptions!$D$15*Assumptions!$D$30+IF(Assumptions!$D$15&gt;0,Assumptions!$D$16*Assumptions!$D$31,0)+(1-Assumptions!$D$15-IF(Assumptions!$D$15&gt;0,Assumptions!$D$16,0))*Assumptions!$D$29)+(Assumptions!$D$14/1000000)*Assumptions!$D$32)*Assumptions!$D$22</f>
        <v/>
      </c>
      <c r="P30" s="18">
        <f>D30*Assumptions!$D$57*Assumptions!$D$58*Assumptions!$D$26*(1-Assumptions!$D$59)*Assumptions!$D$60*Assumptions!$D$22</f>
        <v/>
      </c>
      <c r="Q30" s="18">
        <f>SUM(F30:H30,M30:P30)</f>
        <v/>
      </c>
      <c r="R30" s="18">
        <f>Q30*12</f>
        <v/>
      </c>
      <c r="S30" s="18">
        <f>Q30/D30</f>
        <v/>
      </c>
    </row>
    <row r="31" ht="18" customHeight="1">
      <c r="C31" s="5" t="inlineStr">
        <is>
          <t>E2 — Self-host full 70B narrator</t>
        </is>
      </c>
      <c r="D31" s="16">
        <f>Assumptions!$D$11</f>
        <v/>
      </c>
      <c r="E31" s="17">
        <f>D31*Assumptions!$D$12</f>
        <v/>
      </c>
      <c r="F31" s="18" t="n">
        <v>0</v>
      </c>
      <c r="G31" s="18" t="n">
        <v>0</v>
      </c>
      <c r="H31" s="18">
        <f>K31*Assumptions!$D$53*Assumptions!$D$22</f>
        <v/>
      </c>
      <c r="I31" s="19">
        <f>MAX(1,ROUNDUP(((E31/(Assumptions!$D$24*24*3600))*Assumptions!$D$18*Assumptions!$D$14)/Assumptions!$D$52,0))</f>
        <v/>
      </c>
      <c r="J31" s="19">
        <f>E31*Assumptions!$D$14/Assumptions!$D$52/3600</f>
        <v/>
      </c>
      <c r="K31" s="19">
        <f>I31*Assumptions!$D$25</f>
        <v/>
      </c>
      <c r="L31" s="19">
        <f>MAX(0,K31-J31)</f>
        <v/>
      </c>
      <c r="M31" s="18">
        <f>14*Assumptions!$D$23</f>
        <v/>
      </c>
      <c r="N31" s="18">
        <f>300</f>
        <v/>
      </c>
      <c r="O31" s="18">
        <f>E31*Assumptions!$D$54*((Assumptions!$D$13/1000000)*(Assumptions!$D$15*Assumptions!$D$30+IF(Assumptions!$D$15&gt;0,Assumptions!$D$16*Assumptions!$D$31,0)+(1-Assumptions!$D$15-IF(Assumptions!$D$15&gt;0,Assumptions!$D$16,0))*Assumptions!$D$29)+(Assumptions!$D$14/1000000)*Assumptions!$D$32)*Assumptions!$D$22</f>
        <v/>
      </c>
      <c r="P31" s="18">
        <f>D31*Assumptions!$D$57*Assumptions!$D$58*Assumptions!$D$26*(1-Assumptions!$D$59)*Assumptions!$D$60*Assumptions!$D$22</f>
        <v/>
      </c>
      <c r="Q31" s="18">
        <f>SUM(F31:H31,M31:P31)</f>
        <v/>
      </c>
      <c r="R31" s="18">
        <f>Q31*12</f>
        <v/>
      </c>
      <c r="S31" s="18">
        <f>Q31/D31</f>
        <v/>
      </c>
    </row>
    <row r="32" ht="18" customHeight="1"/>
    <row r="33" ht="18" customHeight="1"/>
    <row r="34" ht="18" customHeight="1">
      <c r="C34" s="6" t="inlineStr">
        <is>
          <t>Interpretation controls</t>
        </is>
      </c>
    </row>
    <row r="35" ht="18" customHeight="1">
      <c r="C35" s="5" t="inlineStr">
        <is>
          <t>• A is a planning OpenRouter gross-up, not a claim of universal transaction fees. Model-route prices vary by provider.</t>
        </is>
      </c>
    </row>
    <row r="36" ht="18" customHeight="1">
      <c r="C36" s="5" t="inlineStr">
        <is>
          <t>• B–D use the same direct Sonnet 5 mid-narrator workload to isolate routing/gate/warden economics.</t>
        </is>
      </c>
    </row>
    <row r="37" ht="18" customHeight="1">
      <c r="C37" s="5" t="inlineStr">
        <is>
          <t>• D models a warm production pod to expose idle cost. A scale-to-zero serverless Warden is reported separately in Sensitivity.</t>
        </is>
      </c>
    </row>
    <row r="38" ht="18" customHeight="1">
      <c r="C38" s="5" t="inlineStr">
        <is>
          <t>• E1 assumes 85% paid-API fallback because a 7B narrator is not granted quality parity without evaluation proof; E2 is a quality-aspirational 70B capacity case. Neither is asserted to match paid narrator quality without benchmark proof.</t>
        </is>
      </c>
    </row>
    <row r="39" ht="18" customHeight="1">
      <c r="C39" s="5" t="inlineStr">
        <is>
          <t>• GPU idle hours are paid warm hours minus estimated active compute hours. Active hours do not include cold starts, storage, egress or monitoring overhead.</t>
        </is>
      </c>
    </row>
    <row r="40" ht="18" customHeight="1">
      <c r="C40" s="5" t="inlineStr">
        <is>
          <t>• Art is a common direct BFL baseline at a planning cap of one attempt per weekly-active user per week, 60% WAU/MAU, with a 70% soft skip rate.</t>
        </is>
      </c>
    </row>
    <row r="41" ht="18" customHeight="1"/>
    <row r="42" ht="18" customHeight="1"/>
    <row r="43" ht="18" customHeight="1">
      <c r="C43" s="7" t="inlineStr">
        <is>
          <t>Chart helper: monthly £ by scenario at 1,000 MAU</t>
        </is>
      </c>
    </row>
    <row r="44" ht="18" customHeight="1">
      <c r="C44" s="7" t="inlineStr">
        <is>
          <t>Scenario</t>
        </is>
      </c>
      <c r="D44" s="7" t="inlineStr">
        <is>
          <t>Monthly £</t>
        </is>
      </c>
    </row>
    <row r="45" ht="18" customHeight="1">
      <c r="C45" s="7" t="inlineStr">
        <is>
          <t>A — OpenRouter-only</t>
        </is>
      </c>
      <c r="D45" s="18">
        <f>Q10</f>
        <v/>
      </c>
    </row>
    <row r="46" ht="18" customHeight="1">
      <c r="C46" s="7" t="inlineStr">
        <is>
          <t>B — Direct APIs + prompt cache</t>
        </is>
      </c>
      <c r="D46" s="18">
        <f>Q14</f>
        <v/>
      </c>
    </row>
    <row r="47" ht="18" customHeight="1">
      <c r="C47" s="7" t="inlineStr">
        <is>
          <t>C — Hosted low-cost gates + mid narrator</t>
        </is>
      </c>
      <c r="D47" s="18">
        <f>Q18</f>
        <v/>
      </c>
    </row>
    <row r="48" ht="18" customHeight="1">
      <c r="C48" s="7" t="inlineStr">
        <is>
          <t>D — Self-host Continuity Warden only</t>
        </is>
      </c>
      <c r="D48" s="18">
        <f>Q22</f>
        <v/>
      </c>
    </row>
    <row r="49" ht="18" customHeight="1">
      <c r="C49" s="7" t="inlineStr">
        <is>
          <t>E1 — Self-host full 7B narrator (production fallback)</t>
        </is>
      </c>
      <c r="D49" s="18">
        <f>Q26</f>
        <v/>
      </c>
    </row>
    <row r="50" ht="18" customHeight="1">
      <c r="C50" s="7" t="inlineStr">
        <is>
          <t>E2 — Self-host full 70B narrator</t>
        </is>
      </c>
      <c r="D50" s="18">
        <f>Q30</f>
        <v/>
      </c>
    </row>
  </sheetData>
  <mergeCells count="7">
    <mergeCell ref="C39:S39"/>
    <mergeCell ref="C40:S40"/>
    <mergeCell ref="C35:S35"/>
    <mergeCell ref="C3:H3"/>
    <mergeCell ref="C38:S38"/>
    <mergeCell ref="C36:S36"/>
    <mergeCell ref="C37:S37"/>
  </mergeCells>
  <conditionalFormatting sqref="L9:L31">
    <cfRule type="cellIs" priority="1" operator="greaterThan" dxfId="0">
      <formula>500</formula>
    </cfRule>
  </conditionalFormatting>
  <pageMargins left="0.75" right="0.75" top="1" bottom="1" header="0.5" footer="0.5"/>
  <pageSetup orientation="landscape" fitToWidth="1"/>
  <headerFooter>
    <oddHeader/>
    <oddFooter>&amp;C&amp;A | Page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C1:J4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  <col width="34" customWidth="1" min="7" max="7"/>
    <col width="48" customWidth="1" min="8" max="8"/>
    <col width="10" customWidth="1" min="9" max="9"/>
    <col width="10" customWidth="1" min="10" max="10"/>
  </cols>
  <sheetData>
    <row r="1" ht="18" customHeight="1"/>
    <row r="2" ht="18" customHeight="1"/>
    <row r="3" ht="18" customHeight="1">
      <c r="C3" s="1" t="inlineStr">
        <is>
          <t>Break-Even Calculator and Sensitivities</t>
        </is>
      </c>
    </row>
    <row r="4" ht="18" customHeight="1"/>
    <row r="5" ht="18" customHeight="1">
      <c r="C5" s="2" t="inlineStr">
        <is>
          <t>Every denominator and workload variable is editable on Assumptions. Use this tab to stress cache, retry, art skip, and Warden deployment mode.</t>
        </is>
      </c>
    </row>
    <row r="6" ht="18" customHeight="1">
      <c r="C6" s="3" t="inlineStr">
        <is>
          <t>(£ unless stated)</t>
        </is>
      </c>
    </row>
    <row r="7" ht="18" customHeight="1"/>
    <row r="8" ht="18" customHeight="1">
      <c r="C8" s="6" t="inlineStr">
        <is>
          <t>Core spreadsheet-friendly formulas</t>
        </is>
      </c>
    </row>
    <row r="9" ht="18" customHeight="1">
      <c r="C9" s="4" t="inlineStr">
        <is>
          <t>Monthly turns</t>
        </is>
      </c>
      <c r="D9" s="5" t="inlineStr">
        <is>
          <t>MAU × turns/user/month</t>
        </is>
      </c>
    </row>
    <row r="10" ht="18" customHeight="1">
      <c r="C10" s="4" t="inlineStr">
        <is>
          <t>Narrator $/turn</t>
        </is>
      </c>
      <c r="D10" s="5" t="inlineStr">
        <is>
          <t>(Input tokens ÷ 1,000,000 × [H×cache-read + W×cache-write + (1−H−W)×base-input]) + (Output tokens ÷ 1,000,000 × output rate)</t>
        </is>
      </c>
    </row>
    <row r="11" ht="18" customHeight="1">
      <c r="C11" s="4" t="inlineStr">
        <is>
          <t>Narrator £/month</t>
        </is>
      </c>
      <c r="D11" s="5" t="inlineStr">
        <is>
          <t>Monthly turns × narrator $/turn × (1 + retry rate) × GBP/USD</t>
        </is>
      </c>
    </row>
    <row r="12" ht="18" customHeight="1">
      <c r="C12" s="4" t="inlineStr">
        <is>
          <t>Art £/month</t>
        </is>
      </c>
      <c r="D12" s="5" t="inlineStr">
        <is>
          <t>MAU × WAU share × weekly cap × weeks/month × (1−art skip) × $/image × GBP/USD</t>
        </is>
      </c>
    </row>
    <row r="13" ht="18" customHeight="1">
      <c r="C13" s="4" t="inlineStr">
        <is>
          <t>Warm GPU £/month</t>
        </is>
      </c>
      <c r="D13" s="5" t="inlineStr">
        <is>
          <t>GPU count × warm hours/month × $/GPU-hour × GBP/USD</t>
        </is>
      </c>
    </row>
    <row r="14" ht="18" customHeight="1">
      <c r="C14" s="4" t="inlineStr">
        <is>
          <t>Warden GPU count</t>
        </is>
      </c>
      <c r="D14" s="5" t="inlineStr">
        <is>
          <t>MAX(1, CEILING(avg turns/sec × peak factor × GPU seconds/turn, 1))</t>
        </is>
      </c>
    </row>
    <row r="15" ht="18" customHeight="1">
      <c r="C15" s="4" t="inlineStr">
        <is>
          <t>Full narrator GPU count</t>
        </is>
      </c>
      <c r="D15" s="5" t="inlineStr">
        <is>
          <t>MAX(1, CEILING(peak turns/sec × output tokens/turn ÷ output tokens/sec/GPU, 1))</t>
        </is>
      </c>
    </row>
    <row r="16" ht="18" customHeight="1">
      <c r="C16" s="4" t="inlineStr">
        <is>
          <t>Break-even MAU vs paid API</t>
        </is>
      </c>
      <c r="D16" s="5" t="inlineStr">
        <is>
          <t>(self-host fixed £/month − paid fixed £/month) ÷ (paid variable £/MAU/month − self-host variable £/MAU/month)</t>
        </is>
      </c>
    </row>
    <row r="17" ht="18" customHeight="1"/>
    <row r="18" ht="18" customHeight="1">
      <c r="C18" s="6" t="inlineStr">
        <is>
          <t>Cache-hit sensitivity — Direct APIs + prompt cache</t>
        </is>
      </c>
    </row>
    <row r="19" ht="18" customHeight="1">
      <c r="C19" s="6" t="inlineStr">
        <is>
          <t>Cache hit</t>
        </is>
      </c>
      <c r="D19" s="6" t="inlineStr">
        <is>
          <t>100 MAU monthly £</t>
        </is>
      </c>
      <c r="E19" s="6" t="inlineStr">
        <is>
          <t>1,000 MAU monthly £</t>
        </is>
      </c>
      <c r="F19" s="6" t="inlineStr">
        <is>
          <t>10,000 MAU monthly £</t>
        </is>
      </c>
      <c r="G19" s="6" t="inlineStr">
        <is>
          <t>Narrator $/turn</t>
        </is>
      </c>
    </row>
    <row r="20" ht="18" customHeight="1">
      <c r="C20" s="11" t="n">
        <v>0</v>
      </c>
      <c r="D20" s="18">
        <f>Assumptions!$D$9*Assumptions!$D$12*((Assumptions!$D$13/1000000)*($C20*Assumptions!$D$30+IF($C20&gt;0,Assumptions!$D$16*Assumptions!$D$31,0)+(1-$C20-IF($C20&gt;0,Assumptions!$D$16,0))*Assumptions!$D$29)+(Assumptions!$D$14/1000000)*Assumptions!$D$32)*(1+Assumptions!$D$17)*Assumptions!$D$22+(Assumptions!$D$9*Assumptions!$D$57*Assumptions!$D$58*Assumptions!$D$26*(1-Assumptions!$D$59)*Assumptions!$D$60*Assumptions!$D$22)+2*Assumptions!$D$23+40</f>
        <v/>
      </c>
      <c r="E20" s="18">
        <f>Assumptions!$D$10*Assumptions!$D$12*((Assumptions!$D$13/1000000)*($C20*Assumptions!$D$30+IF($C20&gt;0,Assumptions!$D$16*Assumptions!$D$31,0)+(1-$C20-IF($C20&gt;0,Assumptions!$D$16,0))*Assumptions!$D$29)+(Assumptions!$D$14/1000000)*Assumptions!$D$32)*(1+Assumptions!$D$17)*Assumptions!$D$22+(Assumptions!$D$10*Assumptions!$D$57*Assumptions!$D$58*Assumptions!$D$26*(1-Assumptions!$D$59)*Assumptions!$D$60*Assumptions!$D$22)+2*Assumptions!$D$23+40</f>
        <v/>
      </c>
      <c r="F20" s="18">
        <f>Assumptions!$D$11*Assumptions!$D$12*((Assumptions!$D$13/1000000)*($C20*Assumptions!$D$30+IF($C20&gt;0,Assumptions!$D$16*Assumptions!$D$31,0)+(1-$C20-IF($C20&gt;0,Assumptions!$D$16,0))*Assumptions!$D$29)+(Assumptions!$D$14/1000000)*Assumptions!$D$32)*(1+Assumptions!$D$17)*Assumptions!$D$22+(Assumptions!$D$11*Assumptions!$D$57*Assumptions!$D$58*Assumptions!$D$26*(1-Assumptions!$D$59)*Assumptions!$D$60*Assumptions!$D$22)+2*Assumptions!$D$23+40</f>
        <v/>
      </c>
      <c r="H20" s="20">
        <f>((Assumptions!$D$13/1000000)*($C20*Assumptions!$D$30+IF($C20&gt;0,Assumptions!$D$16*Assumptions!$D$31,0)+(1-$C20-IF($C20&gt;0,Assumptions!$D$16,0))*Assumptions!$D$29)+(Assumptions!$D$14/1000000)*Assumptions!$D$32)</f>
        <v/>
      </c>
    </row>
    <row r="21" ht="18" customHeight="1">
      <c r="C21" s="11" t="n">
        <v>0.3</v>
      </c>
      <c r="D21" s="18">
        <f>Assumptions!$D$9*Assumptions!$D$12*((Assumptions!$D$13/1000000)*($C21*Assumptions!$D$30+IF($C21&gt;0,Assumptions!$D$16*Assumptions!$D$31,0)+(1-$C21-IF($C21&gt;0,Assumptions!$D$16,0))*Assumptions!$D$29)+(Assumptions!$D$14/1000000)*Assumptions!$D$32)*(1+Assumptions!$D$17)*Assumptions!$D$22+(Assumptions!$D$9*Assumptions!$D$57*Assumptions!$D$58*Assumptions!$D$26*(1-Assumptions!$D$59)*Assumptions!$D$60*Assumptions!$D$22)+2*Assumptions!$D$23+40</f>
        <v/>
      </c>
      <c r="E21" s="18">
        <f>Assumptions!$D$10*Assumptions!$D$12*((Assumptions!$D$13/1000000)*($C21*Assumptions!$D$30+IF($C21&gt;0,Assumptions!$D$16*Assumptions!$D$31,0)+(1-$C21-IF($C21&gt;0,Assumptions!$D$16,0))*Assumptions!$D$29)+(Assumptions!$D$14/1000000)*Assumptions!$D$32)*(1+Assumptions!$D$17)*Assumptions!$D$22+(Assumptions!$D$10*Assumptions!$D$57*Assumptions!$D$58*Assumptions!$D$26*(1-Assumptions!$D$59)*Assumptions!$D$60*Assumptions!$D$22)+2*Assumptions!$D$23+40</f>
        <v/>
      </c>
      <c r="F21" s="18">
        <f>Assumptions!$D$11*Assumptions!$D$12*((Assumptions!$D$13/1000000)*($C21*Assumptions!$D$30+IF($C21&gt;0,Assumptions!$D$16*Assumptions!$D$31,0)+(1-$C21-IF($C21&gt;0,Assumptions!$D$16,0))*Assumptions!$D$29)+(Assumptions!$D$14/1000000)*Assumptions!$D$32)*(1+Assumptions!$D$17)*Assumptions!$D$22+(Assumptions!$D$11*Assumptions!$D$57*Assumptions!$D$58*Assumptions!$D$26*(1-Assumptions!$D$59)*Assumptions!$D$60*Assumptions!$D$22)+2*Assumptions!$D$23+40</f>
        <v/>
      </c>
      <c r="H21" s="20">
        <f>((Assumptions!$D$13/1000000)*($C21*Assumptions!$D$30+IF($C21&gt;0,Assumptions!$D$16*Assumptions!$D$31,0)+(1-$C21-IF($C21&gt;0,Assumptions!$D$16,0))*Assumptions!$D$29)+(Assumptions!$D$14/1000000)*Assumptions!$D$32)</f>
        <v/>
      </c>
    </row>
    <row r="22" ht="18" customHeight="1">
      <c r="C22" s="11" t="n">
        <v>0.7</v>
      </c>
      <c r="D22" s="18">
        <f>Assumptions!$D$9*Assumptions!$D$12*((Assumptions!$D$13/1000000)*($C22*Assumptions!$D$30+IF($C22&gt;0,Assumptions!$D$16*Assumptions!$D$31,0)+(1-$C22-IF($C22&gt;0,Assumptions!$D$16,0))*Assumptions!$D$29)+(Assumptions!$D$14/1000000)*Assumptions!$D$32)*(1+Assumptions!$D$17)*Assumptions!$D$22+(Assumptions!$D$9*Assumptions!$D$57*Assumptions!$D$58*Assumptions!$D$26*(1-Assumptions!$D$59)*Assumptions!$D$60*Assumptions!$D$22)+2*Assumptions!$D$23+40</f>
        <v/>
      </c>
      <c r="E22" s="18">
        <f>Assumptions!$D$10*Assumptions!$D$12*((Assumptions!$D$13/1000000)*($C22*Assumptions!$D$30+IF($C22&gt;0,Assumptions!$D$16*Assumptions!$D$31,0)+(1-$C22-IF($C22&gt;0,Assumptions!$D$16,0))*Assumptions!$D$29)+(Assumptions!$D$14/1000000)*Assumptions!$D$32)*(1+Assumptions!$D$17)*Assumptions!$D$22+(Assumptions!$D$10*Assumptions!$D$57*Assumptions!$D$58*Assumptions!$D$26*(1-Assumptions!$D$59)*Assumptions!$D$60*Assumptions!$D$22)+2*Assumptions!$D$23+40</f>
        <v/>
      </c>
      <c r="F22" s="18">
        <f>Assumptions!$D$11*Assumptions!$D$12*((Assumptions!$D$13/1000000)*($C22*Assumptions!$D$30+IF($C22&gt;0,Assumptions!$D$16*Assumptions!$D$31,0)+(1-$C22-IF($C22&gt;0,Assumptions!$D$16,0))*Assumptions!$D$29)+(Assumptions!$D$14/1000000)*Assumptions!$D$32)*(1+Assumptions!$D$17)*Assumptions!$D$22+(Assumptions!$D$11*Assumptions!$D$57*Assumptions!$D$58*Assumptions!$D$26*(1-Assumptions!$D$59)*Assumptions!$D$60*Assumptions!$D$22)+2*Assumptions!$D$23+40</f>
        <v/>
      </c>
      <c r="H22" s="20">
        <f>((Assumptions!$D$13/1000000)*($C22*Assumptions!$D$30+IF($C22&gt;0,Assumptions!$D$16*Assumptions!$D$31,0)+(1-$C22-IF($C22&gt;0,Assumptions!$D$16,0))*Assumptions!$D$29)+(Assumptions!$D$14/1000000)*Assumptions!$D$32)</f>
        <v/>
      </c>
    </row>
    <row r="23" ht="18" customHeight="1"/>
    <row r="24" ht="18" customHeight="1">
      <c r="C24" s="6" t="inlineStr">
        <is>
          <t>Retry-rate sensitivity — Direct APIs + prompt cache at 1,000 MAU</t>
        </is>
      </c>
    </row>
    <row r="25" ht="18" customHeight="1">
      <c r="C25" s="6" t="inlineStr">
        <is>
          <t>Retry rate</t>
        </is>
      </c>
      <c r="D25" s="6" t="inlineStr">
        <is>
          <t>Narrator £/month</t>
        </is>
      </c>
      <c r="E25" s="6" t="inlineStr">
        <is>
          <t>Total £/month</t>
        </is>
      </c>
      <c r="F25" s="6" t="inlineStr">
        <is>
          <t>Incremental vs 0%</t>
        </is>
      </c>
    </row>
    <row r="26" ht="18" customHeight="1">
      <c r="C26" s="11" t="n">
        <v>0</v>
      </c>
      <c r="D26" s="18">
        <f>Assumptions!$D$10*Assumptions!$D$12*((Assumptions!$D$13/1000000)*(Assumptions!$D$15*Assumptions!$D$30+IF(Assumptions!$D$15&gt;0,Assumptions!$D$16*Assumptions!$D$31,0)+(1-Assumptions!$D$15-IF(Assumptions!$D$15&gt;0,Assumptions!$D$16,0))*Assumptions!$D$29)+(Assumptions!$D$14/1000000)*Assumptions!$D$32)*(1+$C26)*Assumptions!$D$22</f>
        <v/>
      </c>
      <c r="E26" s="18">
        <f>D26+(Assumptions!$D$10*Assumptions!$D$57*Assumptions!$D$58*Assumptions!$D$26*(1-Assumptions!$D$59)*Assumptions!$D$60*Assumptions!$D$22)+2*Assumptions!$D$23+40</f>
        <v/>
      </c>
      <c r="F26" s="18">
        <f>E26-$E$26</f>
        <v/>
      </c>
    </row>
    <row r="27" ht="18" customHeight="1">
      <c r="C27" s="11" t="n">
        <v>0.05</v>
      </c>
      <c r="D27" s="18">
        <f>Assumptions!$D$10*Assumptions!$D$12*((Assumptions!$D$13/1000000)*(Assumptions!$D$15*Assumptions!$D$30+IF(Assumptions!$D$15&gt;0,Assumptions!$D$16*Assumptions!$D$31,0)+(1-Assumptions!$D$15-IF(Assumptions!$D$15&gt;0,Assumptions!$D$16,0))*Assumptions!$D$29)+(Assumptions!$D$14/1000000)*Assumptions!$D$32)*(1+$C27)*Assumptions!$D$22</f>
        <v/>
      </c>
      <c r="E27" s="18">
        <f>D27+(Assumptions!$D$10*Assumptions!$D$57*Assumptions!$D$58*Assumptions!$D$26*(1-Assumptions!$D$59)*Assumptions!$D$60*Assumptions!$D$22)+2*Assumptions!$D$23+40</f>
        <v/>
      </c>
      <c r="F27" s="18">
        <f>E27-$E$26</f>
        <v/>
      </c>
    </row>
    <row r="28" ht="18" customHeight="1">
      <c r="C28" s="11" t="n">
        <v>0.15</v>
      </c>
      <c r="D28" s="18">
        <f>Assumptions!$D$10*Assumptions!$D$12*((Assumptions!$D$13/1000000)*(Assumptions!$D$15*Assumptions!$D$30+IF(Assumptions!$D$15&gt;0,Assumptions!$D$16*Assumptions!$D$31,0)+(1-Assumptions!$D$15-IF(Assumptions!$D$15&gt;0,Assumptions!$D$16,0))*Assumptions!$D$29)+(Assumptions!$D$14/1000000)*Assumptions!$D$32)*(1+$C28)*Assumptions!$D$22</f>
        <v/>
      </c>
      <c r="E28" s="18">
        <f>D28+(Assumptions!$D$10*Assumptions!$D$57*Assumptions!$D$58*Assumptions!$D$26*(1-Assumptions!$D$59)*Assumptions!$D$60*Assumptions!$D$22)+2*Assumptions!$D$23+40</f>
        <v/>
      </c>
      <c r="F28" s="18">
        <f>E28-$E$26</f>
        <v/>
      </c>
    </row>
    <row r="29" ht="18" customHeight="1"/>
    <row r="30" ht="18" customHeight="1">
      <c r="C30" s="6" t="inlineStr">
        <is>
          <t>Art soft-skip sensitivity — 1 MP BFL/FLUX.2 Pro cash spend</t>
        </is>
      </c>
    </row>
    <row r="31" ht="18" customHeight="1">
      <c r="C31" s="6" t="inlineStr">
        <is>
          <t>Art skip rate</t>
        </is>
      </c>
      <c r="D31" s="6" t="inlineStr">
        <is>
          <t>100 MAU £/month</t>
        </is>
      </c>
      <c r="E31" s="6" t="inlineStr">
        <is>
          <t>1,000 MAU £/month</t>
        </is>
      </c>
      <c r="F31" s="6" t="inlineStr">
        <is>
          <t>10,000 MAU £/month</t>
        </is>
      </c>
      <c r="G31" s="6" t="inlineStr">
        <is>
          <t>Image attempts / 10k MAU / month</t>
        </is>
      </c>
    </row>
    <row r="32" ht="18" customHeight="1">
      <c r="C32" s="11" t="n">
        <v>0</v>
      </c>
      <c r="D32" s="18">
        <f>Assumptions!$D$9*Assumptions!$D$57*Assumptions!$D$58*Assumptions!$D$26*(1-$C32)*Assumptions!$D$60*Assumptions!$D$22</f>
        <v/>
      </c>
      <c r="E32" s="18">
        <f>Assumptions!$D$10*Assumptions!$D$57*Assumptions!$D$58*Assumptions!$D$26*(1-$C32)*Assumptions!$D$60*Assumptions!$D$22</f>
        <v/>
      </c>
      <c r="F32" s="18">
        <f>Assumptions!$D$11*Assumptions!$D$57*Assumptions!$D$58*Assumptions!$D$26*(1-$C32)*Assumptions!$D$60*Assumptions!$D$22</f>
        <v/>
      </c>
      <c r="H32" s="19">
        <f>Assumptions!$D$11*Assumptions!$D$57*Assumptions!$D$58*Assumptions!$D$26*(1-$C32)</f>
        <v/>
      </c>
    </row>
    <row r="33" ht="18" customHeight="1">
      <c r="C33" s="11" t="n">
        <v>0.3</v>
      </c>
      <c r="D33" s="18">
        <f>Assumptions!$D$9*Assumptions!$D$57*Assumptions!$D$58*Assumptions!$D$26*(1-$C33)*Assumptions!$D$60*Assumptions!$D$22</f>
        <v/>
      </c>
      <c r="E33" s="18">
        <f>Assumptions!$D$10*Assumptions!$D$57*Assumptions!$D$58*Assumptions!$D$26*(1-$C33)*Assumptions!$D$60*Assumptions!$D$22</f>
        <v/>
      </c>
      <c r="F33" s="18">
        <f>Assumptions!$D$11*Assumptions!$D$57*Assumptions!$D$58*Assumptions!$D$26*(1-$C33)*Assumptions!$D$60*Assumptions!$D$22</f>
        <v/>
      </c>
      <c r="H33" s="19">
        <f>Assumptions!$D$11*Assumptions!$D$57*Assumptions!$D$58*Assumptions!$D$26*(1-$C33)</f>
        <v/>
      </c>
    </row>
    <row r="34" ht="18" customHeight="1">
      <c r="C34" s="11" t="n">
        <v>0.7</v>
      </c>
      <c r="D34" s="18">
        <f>Assumptions!$D$9*Assumptions!$D$57*Assumptions!$D$58*Assumptions!$D$26*(1-$C34)*Assumptions!$D$60*Assumptions!$D$22</f>
        <v/>
      </c>
      <c r="E34" s="18">
        <f>Assumptions!$D$10*Assumptions!$D$57*Assumptions!$D$58*Assumptions!$D$26*(1-$C34)*Assumptions!$D$60*Assumptions!$D$22</f>
        <v/>
      </c>
      <c r="F34" s="18">
        <f>Assumptions!$D$11*Assumptions!$D$57*Assumptions!$D$58*Assumptions!$D$26*(1-$C34)*Assumptions!$D$60*Assumptions!$D$22</f>
        <v/>
      </c>
      <c r="H34" s="19">
        <f>Assumptions!$D$11*Assumptions!$D$57*Assumptions!$D$58*Assumptions!$D$26*(1-$C34)</f>
        <v/>
      </c>
    </row>
    <row r="35" ht="18" customHeight="1"/>
    <row r="36" ht="18" customHeight="1">
      <c r="C36" s="6" t="inlineStr">
        <is>
          <t>Warden deployment comparison — 24GB worker at baseline active seconds</t>
        </is>
      </c>
    </row>
    <row r="37" ht="18" customHeight="1">
      <c r="C37" s="6" t="inlineStr">
        <is>
          <t>MAU</t>
        </is>
      </c>
      <c r="D37" s="6" t="inlineStr">
        <is>
          <t>Active GPU h/month</t>
        </is>
      </c>
      <c r="E37" s="6" t="inlineStr">
        <is>
          <t>Warm Pod £/month</t>
        </is>
      </c>
      <c r="F37" s="6" t="inlineStr">
        <is>
          <t>Serverless active-only £/month</t>
        </is>
      </c>
      <c r="G37" s="6" t="inlineStr">
        <is>
          <t>Warm idle h/month</t>
        </is>
      </c>
      <c r="H37" s="6" t="inlineStr">
        <is>
          <t>Cold-start caveat</t>
        </is>
      </c>
    </row>
    <row r="38" ht="18" customHeight="1">
      <c r="C38" s="21" t="n">
        <v>100</v>
      </c>
      <c r="D38" s="9" t="n">
        <v>0.6666666666666666</v>
      </c>
      <c r="E38" s="13" t="n">
        <v>145.4290562974987</v>
      </c>
      <c r="F38" s="13" t="n">
        <v>0.3394082490961411</v>
      </c>
      <c r="G38" s="9" t="n">
        <v>729.3333333333334</v>
      </c>
      <c r="H38" s="5" t="inlineStr">
        <is>
          <t>Serverless removes warm idle cost but can introduce start/queue latency; validate against live turn SLO before relying on it.</t>
        </is>
      </c>
    </row>
    <row r="39" ht="18" customHeight="1">
      <c r="C39" s="21" t="n">
        <v>1000</v>
      </c>
      <c r="D39" s="9" t="n">
        <v>6.666666666666667</v>
      </c>
      <c r="E39" s="13" t="n">
        <v>145.4290562974987</v>
      </c>
      <c r="F39" s="13" t="n">
        <v>3.394082490961411</v>
      </c>
      <c r="G39" s="9" t="n">
        <v>723.3333333333334</v>
      </c>
      <c r="H39" s="5" t="inlineStr">
        <is>
          <t>Serverless removes warm idle cost but can introduce start/queue latency; validate against live turn SLO before relying on it.</t>
        </is>
      </c>
    </row>
    <row r="40" ht="18" customHeight="1">
      <c r="C40" s="21" t="n">
        <v>10000</v>
      </c>
      <c r="D40" s="9" t="n">
        <v>66.66666666666667</v>
      </c>
      <c r="E40" s="13" t="n">
        <v>145.4290562974987</v>
      </c>
      <c r="F40" s="13" t="n">
        <v>33.94082490961411</v>
      </c>
      <c r="G40" s="9" t="n">
        <v>663.3333333333334</v>
      </c>
      <c r="H40" s="5" t="inlineStr">
        <is>
          <t>Serverless removes warm idle cost but can introduce start/queue latency; validate against live turn SLO before relying on it.</t>
        </is>
      </c>
    </row>
  </sheetData>
  <mergeCells count="9">
    <mergeCell ref="D14:J14"/>
    <mergeCell ref="D9:J9"/>
    <mergeCell ref="D12:J12"/>
    <mergeCell ref="D13:J13"/>
    <mergeCell ref="D16:J16"/>
    <mergeCell ref="D10:J10"/>
    <mergeCell ref="C3:H3"/>
    <mergeCell ref="D15:J15"/>
    <mergeCell ref="D11:J11"/>
  </mergeCells>
  <pageMargins left="0.75" right="0.75" top="1" bottom="1" header="0.5" footer="0.5"/>
  <pageSetup orientation="landscape" fitToWidth="1"/>
  <headerFooter>
    <oddHeader/>
    <oddFooter>&amp;C&amp;A |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C1:I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24" customWidth="1" min="5" max="5"/>
    <col width="48" customWidth="1" min="6" max="6"/>
    <col width="44" customWidth="1" min="7" max="7"/>
    <col width="48" customWidth="1" min="8" max="8"/>
    <col width="48" customWidth="1" min="9" max="9"/>
  </cols>
  <sheetData>
    <row r="1" ht="18" customHeight="1"/>
    <row r="2" ht="18" customHeight="1"/>
    <row r="3" ht="18" customHeight="1">
      <c r="C3" s="1" t="inlineStr">
        <is>
          <t>Image Cost Ladder — FLUX Options for SynapticGM</t>
        </is>
      </c>
    </row>
    <row r="4" ht="18" customHeight="1"/>
    <row r="5" ht="18" customHeight="1">
      <c r="C5" s="2" t="inlineStr">
        <is>
          <t>Per 1 MP baseline, with filterability assessed as implementation controls rather than a guarantee of child suitability.</t>
        </is>
      </c>
    </row>
    <row r="6" ht="18" customHeight="1">
      <c r="C6" s="3" t="inlineStr">
        <is>
          <t>(USD list price, £ planning translation, and cost per retained memorable image)</t>
        </is>
      </c>
    </row>
    <row r="7" ht="18" customHeight="1"/>
    <row r="8" ht="18" customHeight="1">
      <c r="C8" s="15" t="inlineStr">
        <is>
          <t>Route</t>
        </is>
      </c>
      <c r="D8" s="15" t="inlineStr">
        <is>
          <t>1 MP list price $</t>
        </is>
      </c>
      <c r="E8" s="15" t="inlineStr">
        <is>
          <t>1 MP £</t>
        </is>
      </c>
      <c r="F8" s="15" t="inlineStr">
        <is>
          <t>Kid/adult filterability</t>
        </is>
      </c>
      <c r="G8" s="15" t="inlineStr">
        <is>
          <t>Cost per retained memorable £</t>
        </is>
      </c>
      <c r="H8" s="15" t="inlineStr">
        <is>
          <t>Live implication</t>
        </is>
      </c>
      <c r="I8" s="15" t="inlineStr">
        <is>
          <t>Source / access date</t>
        </is>
      </c>
    </row>
    <row r="9" ht="18" customHeight="1">
      <c r="C9" s="5" t="inlineStr">
        <is>
          <t>FLUX via OpenRouter — FLUX.2 Pro</t>
        </is>
      </c>
      <c r="D9" s="22" t="n">
        <v>0.03</v>
      </c>
      <c r="E9" s="23">
        <f>D9*Assumptions!$D$22</f>
        <v/>
      </c>
      <c r="F9" s="5" t="inlineStr">
        <is>
          <t>Provider-policy and SynapticGM gate required; model page exposes price, but no complete child-policy control was evidenced.</t>
        </is>
      </c>
      <c r="G9" s="23">
        <f>E9/(Assumptions!$D$61*Assumptions!$D$62)</f>
        <v/>
      </c>
      <c r="H9" s="5" t="inlineStr">
        <is>
          <t>No list-price advantage over direct BFL at 1 MP. Use only if unified routing/logging is worth the account-level loading.</t>
        </is>
      </c>
      <c r="I9" s="5" t="inlineStr">
        <is>
          <t>OpenRouter FLUX.2 Pro, accessed 18 Aug 2026: https://openrouter.ai/black-forest-labs/flux.2-pro</t>
        </is>
      </c>
    </row>
    <row r="10" ht="18" customHeight="1">
      <c r="C10" s="5" t="inlineStr">
        <is>
          <t>BFL direct — FLUX.2 Pro</t>
        </is>
      </c>
      <c r="D10" s="22" t="n">
        <v>0.03</v>
      </c>
      <c r="E10" s="23">
        <f>D10*Assumptions!$D$22</f>
        <v/>
      </c>
      <c r="F10" s="5" t="inlineStr">
        <is>
          <t>BFL exposes `safety_tolerance` and moderation statuses; usage policy bars harmful/minor sexual content. SynapticGM remains policy owner.</t>
        </is>
      </c>
      <c r="G10" s="23">
        <f>E10/(Assumptions!$D$61*Assumptions!$D$62)</f>
        <v/>
      </c>
      <c r="H10" s="5" t="inlineStr">
        <is>
          <t>Cleanest direct relationship; async API; retrieve/re-host signed result rather than expose provider URL.</t>
        </is>
      </c>
      <c r="I10" s="5" t="inlineStr">
        <is>
          <t>BFL Pricing / Usage Policy, accessed 18 Aug 2026: https://docs.bfl.ai/quick_start/pricing ; https://bfl.ai/legal/usage-policy</t>
        </is>
      </c>
    </row>
    <row r="11" ht="18" customHeight="1">
      <c r="C11" s="5" t="inlineStr">
        <is>
          <t>Replicate — FLUX.2 Pro</t>
        </is>
      </c>
      <c r="D11" s="22" t="n">
        <v>0.03</v>
      </c>
      <c r="E11" s="23">
        <f>D11*Assumptions!$D$22</f>
        <v/>
      </c>
      <c r="F11" s="5" t="inlineStr">
        <is>
          <t>Safety checker exists for Flux base / derivative fine-tunes and can be disabled for API custom safety. Configurable, but external kid policy required.</t>
        </is>
      </c>
      <c r="G11" s="23">
        <f>E11/(Assumptions!$D$61*Assumptions!$D$62)</f>
        <v/>
      </c>
      <c r="H11" s="5" t="inlineStr">
        <is>
          <t>1 MP no-reference baseline combines $0.015/run + $0.015 output MP; reference images add $0.015/MP.</t>
        </is>
      </c>
      <c r="I11" s="5" t="inlineStr">
        <is>
          <t>Replicate FLUX / Safety Checking, accessed 18 Aug 2026: https://replicate.com/black-forest-labs/flux-2-pro ; https://replicate.com/docs/topics/predictions/safety-checking</t>
        </is>
      </c>
    </row>
    <row r="12" ht="18" customHeight="1">
      <c r="C12" s="5" t="inlineStr">
        <is>
          <t>fal — FLUX.2 Pro</t>
        </is>
      </c>
      <c r="D12" s="22" t="n">
        <v>0.03</v>
      </c>
      <c r="E12" s="23">
        <f>D12*Assumptions!$D$22</f>
        <v/>
      </c>
      <c r="F12" s="5" t="inlineStr">
        <is>
          <t>`enable_safety_checker` defaults true; blocked outputs are black and `has_nsfw_concepts` is reported. This is NSFW control, not complete child context policy.</t>
        </is>
      </c>
      <c r="G12" s="23">
        <f>E12/(Assumptions!$D$61*Assumptions!$D$62)</f>
        <v/>
      </c>
      <c r="H12" s="5" t="inlineStr">
        <is>
          <t>Default-on provider safety knob is valuable defense-in-depth; add SynapticGM prompt+image policy before display.</t>
        </is>
      </c>
      <c r="I12" s="5" t="inlineStr">
        <is>
          <t>fal FLUX.2 Pro/API, accessed 18 Aug 2026: https://fal.ai/models/fal-ai/flux-2-pro ; https://fal.ai/models/fal-ai/flux-2/api</t>
        </is>
      </c>
    </row>
    <row r="13" ht="18" customHeight="1">
      <c r="C13" s="5" t="inlineStr">
        <is>
          <t>Local ComfyUI — FLUX/open model</t>
        </is>
      </c>
      <c r="D13" s="5" t="inlineStr">
        <is>
          <t>GPU dependent</t>
        </is>
      </c>
      <c r="E13" s="5" t="inlineStr">
        <is>
          <t>GPU dependent</t>
        </is>
      </c>
      <c r="F13" s="5" t="inlineStr">
        <is>
          <t>Maximum control only if SynapticGM selects, tests, versions and operates local filters; no platform-wide universal filter.</t>
        </is>
      </c>
      <c r="G13" s="5" t="inlineStr">
        <is>
          <t>GPU/operator dependent</t>
        </is>
      </c>
      <c r="H13" s="5" t="inlineStr">
        <is>
          <t>Not zero. Active GPU £ + operator + safety/eval burden; calculate locally from workflow seconds and GPU quote.</t>
        </is>
      </c>
      <c r="I13" s="5" t="inlineStr">
        <is>
          <t>ComfyUI repository / Desktop docs, accessed 18 Aug 2026: https://github.com/Comfy-Org/ComfyUI ; https://docs.comfy.org/installation/desktop/overview</t>
        </is>
      </c>
    </row>
    <row r="14" ht="18" customHeight="1"/>
    <row r="15" ht="18" customHeight="1">
      <c r="C15" s="6" t="inlineStr">
        <is>
          <t>Soft-skip policy</t>
        </is>
      </c>
    </row>
    <row r="16" ht="18" customHeight="1">
      <c r="C16" s="4" t="inlineStr">
        <is>
          <t>Default trigger</t>
        </is>
      </c>
      <c r="D16" s="5" t="inlineStr">
        <is>
          <t>Do not generate merely because a turn exists. Generate only when a ledger-supported, player-visible, distinct moment passes the stated weekly cap and the prompt/image policy gate.</t>
        </is>
      </c>
    </row>
    <row r="17" ht="18" customHeight="1">
      <c r="C17" s="4" t="inlineStr">
        <is>
          <t>Default cap</t>
        </is>
      </c>
      <c r="D17" s="5" t="inlineStr">
        <is>
          <t>One eligible image attempt per weekly active user per week, 60% WAU/MAU planning assumption. The workbook exposes 0%, 30%, and 70% soft-skip stress cases.</t>
        </is>
      </c>
    </row>
    <row r="18" ht="18" customHeight="1">
      <c r="C18" s="4" t="inlineStr">
        <is>
          <t>Default skip</t>
        </is>
      </c>
      <c r="D18" s="5" t="inlineStr">
        <is>
          <t>70% of cap-eligible image opportunities are soft-skipped to preserve the feeling of a memorable moment rather than turn-by-turn wallpaper.</t>
        </is>
      </c>
    </row>
    <row r="19" ht="18" customHeight="1">
      <c r="C19" s="4" t="inlineStr">
        <is>
          <t>Paid output rule</t>
        </is>
      </c>
      <c r="D19" s="5" t="inlineStr">
        <is>
          <t>Assume a submitted image request can incur its listed fee. Do not assume provider-moderated, failed, duplicate, or rejected outputs are free unless billing documentation proves it.</t>
        </is>
      </c>
    </row>
    <row r="20" ht="18" customHeight="1">
      <c r="C20" s="4" t="inlineStr">
        <is>
          <t>Display rule</t>
        </is>
      </c>
      <c r="D20" s="5" t="inlineStr">
        <is>
          <t>Run SynapticGM prompt and result policy before display. Treat provider NSFW/moderation as an additional layer, not the complete kid/adult decision.</t>
        </is>
      </c>
    </row>
    <row r="21" ht="18" customHeight="1">
      <c r="C21" s="4" t="inlineStr">
        <is>
          <t>Metric</t>
        </is>
      </c>
      <c r="D21" s="5" t="inlineStr">
        <is>
          <t>Cash per retained memorable image = paid cost / (provider delivery success × memorable keep rate). Baseline uses 90% delivery success and 65% keep rate; change both in Assumptions.</t>
        </is>
      </c>
    </row>
  </sheetData>
  <mergeCells count="7">
    <mergeCell ref="D19:I19"/>
    <mergeCell ref="D20:I20"/>
    <mergeCell ref="D18:I18"/>
    <mergeCell ref="D17:I17"/>
    <mergeCell ref="C3:H3"/>
    <mergeCell ref="D16:I16"/>
    <mergeCell ref="D21:I21"/>
  </mergeCells>
  <pageMargins left="0.75" right="0.75" top="1" bottom="1" header="0.5" footer="0.5"/>
  <pageSetup orientation="landscape" fitToWidth="1"/>
  <headerFooter>
    <oddHeader/>
    <oddFooter>&amp;C&amp;A |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C1:H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17" customWidth="1" min="4" max="4"/>
    <col width="48" customWidth="1" min="5" max="5"/>
    <col width="48" customWidth="1" min="6" max="6"/>
    <col width="13" customWidth="1" min="7" max="7"/>
    <col width="48" customWidth="1" min="8" max="8"/>
  </cols>
  <sheetData>
    <row r="1" ht="18" customHeight="1"/>
    <row r="2" ht="18" customHeight="1"/>
    <row r="3" ht="18" customHeight="1">
      <c r="C3" s="1" t="inlineStr">
        <is>
          <t>Fresh Price Sources and Model Caveats</t>
        </is>
      </c>
    </row>
    <row r="4" ht="18" customHeight="1"/>
    <row r="5" ht="18" customHeight="1">
      <c r="C5" s="2" t="inlineStr">
        <is>
          <t>All vendor price pages accessed 18 Aug 2026. List prices may change; marketplace prices are snapshots, not commitments.</t>
        </is>
      </c>
    </row>
    <row r="6" ht="18" customHeight="1">
      <c r="C6" s="3" t="inlineStr">
        <is>
          <t>(source log)</t>
        </is>
      </c>
    </row>
    <row r="7" ht="18" customHeight="1"/>
    <row r="8" ht="18" customHeight="1">
      <c r="C8" s="6" t="inlineStr">
        <is>
          <t>Category</t>
        </is>
      </c>
      <c r="D8" s="6" t="inlineStr">
        <is>
          <t>Vendor / source</t>
        </is>
      </c>
      <c r="E8" s="6" t="inlineStr">
        <is>
          <t>Observed item used</t>
        </is>
      </c>
      <c r="F8" s="6" t="inlineStr">
        <is>
          <t>URL</t>
        </is>
      </c>
      <c r="G8" s="6" t="inlineStr">
        <is>
          <t>Access date</t>
        </is>
      </c>
      <c r="H8" s="6" t="inlineStr">
        <is>
          <t>Caveat</t>
        </is>
      </c>
    </row>
    <row r="9" ht="18" customHeight="1">
      <c r="C9" s="5" t="inlineStr">
        <is>
          <t>Text narrator</t>
        </is>
      </c>
      <c r="D9" s="5" t="inlineStr">
        <is>
          <t>Anthropic</t>
        </is>
      </c>
      <c r="E9" s="5" t="inlineStr">
        <is>
          <t>Claude Sonnet 5: $2 input / $0.20 cache read / $2.50 5m write / $10 output per MTok</t>
        </is>
      </c>
      <c r="F9" s="5" t="inlineStr">
        <is>
          <t>https://docs.anthropic.com/en/docs/about-claude/pricing</t>
        </is>
      </c>
      <c r="G9" s="5" t="inlineStr">
        <is>
          <t>2026-08-18</t>
        </is>
      </c>
      <c r="H9" s="5" t="inlineStr">
        <is>
          <t>Direct API list price; cache writes and reads are distinct charges.</t>
        </is>
      </c>
    </row>
    <row r="10" ht="18" customHeight="1">
      <c r="C10" s="5" t="inlineStr">
        <is>
          <t>Routing</t>
        </is>
      </c>
      <c r="D10" s="5" t="inlineStr">
        <is>
          <t>OpenRouter</t>
        </is>
      </c>
      <c r="E10" s="5" t="inlineStr">
        <is>
          <t>Pay-as-you-go platform fee shown as 5.5%; sticky prompt caching documentation</t>
        </is>
      </c>
      <c r="F10" s="5" t="inlineStr">
        <is>
          <t>https://openrouter.ai/pricing ; https://openrouter.ai/docs/guides/best-practices/prompt-caching</t>
        </is>
      </c>
      <c r="G10" s="5" t="inlineStr">
        <is>
          <t>2026-08-18</t>
        </is>
      </c>
      <c r="H10" s="5" t="inlineStr">
        <is>
          <t>Planning gross-up; model/provider rate and billing treatment must be verified in account.</t>
        </is>
      </c>
    </row>
    <row r="11" ht="18" customHeight="1">
      <c r="C11" s="5" t="inlineStr">
        <is>
          <t>Hosted gate</t>
        </is>
      </c>
      <c r="D11" s="5" t="inlineStr">
        <is>
          <t>Fireworks</t>
        </is>
      </c>
      <c r="E11" s="5" t="inlineStr">
        <is>
          <t>Nemotron 3.5 Lightning 30B A3B: $0.05 / $0.01 cached / $0.20 output per MTok</t>
        </is>
      </c>
      <c r="F11" s="5" t="inlineStr">
        <is>
          <t>https://docs.fireworks.ai/serverless/pricing</t>
        </is>
      </c>
      <c r="G11" s="5" t="inlineStr">
        <is>
          <t>2026-08-18</t>
        </is>
      </c>
      <c r="H11" s="5" t="inlineStr">
        <is>
          <t>Model-specific serverless list price; no warm idle charge assumed.</t>
        </is>
      </c>
    </row>
    <row r="12" ht="18" customHeight="1">
      <c r="C12" s="5" t="inlineStr">
        <is>
          <t>Direct low-cost reference</t>
        </is>
      </c>
      <c r="D12" s="5" t="inlineStr">
        <is>
          <t>DeepSeek</t>
        </is>
      </c>
      <c r="E12" s="5" t="inlineStr">
        <is>
          <t>V4 Flash off-peak: $0.007 cache hit / $0.22 miss / $0.66 output per MTok</t>
        </is>
      </c>
      <c r="F12" s="5" t="inlineStr">
        <is>
          <t>https://api-docs.deepseek.com/quick_start/pricing/</t>
        </is>
      </c>
      <c r="G12" s="5" t="inlineStr">
        <is>
          <t>2026-08-18</t>
        </is>
      </c>
      <c r="H12" s="5" t="inlineStr">
        <is>
          <t>Peak/off-peak varies; not used as the base mid-narrator.</t>
        </is>
      </c>
    </row>
    <row r="13" ht="18" customHeight="1">
      <c r="C13" s="5" t="inlineStr">
        <is>
          <t>24GB GPU</t>
        </is>
      </c>
      <c r="D13" s="5" t="inlineStr">
        <is>
          <t>RunPod</t>
        </is>
      </c>
      <c r="E13" s="5" t="inlineStr">
        <is>
          <t>A5000 Pod $0.27/h; 24GB serverless group $0.69/h; 4090 Pod $0.74/h</t>
        </is>
      </c>
      <c r="F13" s="5" t="inlineStr">
        <is>
          <t>https://www.runpod.io/pricing</t>
        </is>
      </c>
      <c r="G13" s="5" t="inlineStr">
        <is>
          <t>2026-08-18</t>
        </is>
      </c>
      <c r="H13" s="5" t="inlineStr">
        <is>
          <t>Public on-demand quote; warm pod assumes 730 paid h/month.</t>
        </is>
      </c>
    </row>
    <row r="14" ht="18" customHeight="1">
      <c r="C14" s="5" t="inlineStr">
        <is>
          <t>80GB GPU</t>
        </is>
      </c>
      <c r="D14" s="5" t="inlineStr">
        <is>
          <t>RunPod</t>
        </is>
      </c>
      <c r="E14" s="5" t="inlineStr">
        <is>
          <t>A100 PCIe 80GB Pod $1.39/h; A100 SXM 80GB $1.59/h</t>
        </is>
      </c>
      <c r="F14" s="5" t="inlineStr">
        <is>
          <t>https://www.runpod.io/pricing</t>
        </is>
      </c>
      <c r="G14" s="5" t="inlineStr">
        <is>
          <t>2026-08-18</t>
        </is>
      </c>
      <c r="H14" s="5" t="inlineStr">
        <is>
          <t>Used for 70B capacity illustration; hardware fit/performance requires benchmark validation.</t>
        </is>
      </c>
    </row>
    <row r="15" ht="18" customHeight="1">
      <c r="C15" s="5" t="inlineStr">
        <is>
          <t>GPU comparison</t>
        </is>
      </c>
      <c r="D15" s="5" t="inlineStr">
        <is>
          <t>Lambda</t>
        </is>
      </c>
      <c r="E15" s="5" t="inlineStr">
        <is>
          <t>A100 40GB $1.99/h; A100 80GB $2.79/h; no current public 24/48GB row observed</t>
        </is>
      </c>
      <c r="F15" s="5" t="inlineStr">
        <is>
          <t>https://lambda.ai/pricing</t>
        </is>
      </c>
      <c r="G15" s="5" t="inlineStr">
        <is>
          <t>2026-08-18</t>
        </is>
      </c>
      <c r="H15" s="5" t="inlineStr">
        <is>
          <t>Do not fabricate a current 24GB Lambda quote.</t>
        </is>
      </c>
    </row>
    <row r="16" ht="18" customHeight="1">
      <c r="C16" s="5" t="inlineStr">
        <is>
          <t>GPU comparison</t>
        </is>
      </c>
      <c r="D16" s="5" t="inlineStr">
        <is>
          <t>Vast.ai</t>
        </is>
      </c>
      <c r="E16" s="5" t="inlineStr">
        <is>
          <t>Marketplace snapshot captured: RTX 3090 24GB $0.07/h; RTX 4090 24GB $0.13/h</t>
        </is>
      </c>
      <c r="F16" s="5" t="inlineStr">
        <is>
          <t>https://vast.ai/pricing ; https://vast.ai/pricing/gpu/RTX-4090</t>
        </is>
      </c>
      <c r="G16" s="5" t="inlineStr">
        <is>
          <t>2026-08-18</t>
        </is>
      </c>
      <c r="H16" s="5" t="inlineStr">
        <is>
          <t>Marketplace offer, host/reliability/storage/bandwidth variable; do not use as production commitment baseline.</t>
        </is>
      </c>
    </row>
    <row r="17" ht="18" customHeight="1">
      <c r="C17" s="5" t="inlineStr">
        <is>
          <t>Image</t>
        </is>
      </c>
      <c r="D17" s="5" t="inlineStr">
        <is>
          <t>BFL</t>
        </is>
      </c>
      <c r="E17" s="5" t="inlineStr">
        <is>
          <t>FLUX.2 Pro T2I from $0.03 first MP; 1 credit = $0.01</t>
        </is>
      </c>
      <c r="F17" s="5" t="inlineStr">
        <is>
          <t>https://docs.bfl.ai/quick_start/pricing</t>
        </is>
      </c>
      <c r="G17" s="5" t="inlineStr">
        <is>
          <t>2026-08-18</t>
        </is>
      </c>
      <c r="H17" s="5" t="inlineStr">
        <is>
          <t>Resolution and input-editing dependent.</t>
        </is>
      </c>
    </row>
    <row r="18" ht="18" customHeight="1">
      <c r="C18" s="5" t="inlineStr">
        <is>
          <t>Image</t>
        </is>
      </c>
      <c r="D18" s="5" t="inlineStr">
        <is>
          <t>OpenRouter</t>
        </is>
      </c>
      <c r="E18" s="5" t="inlineStr">
        <is>
          <t>FLUX.2 Pro $0.03 first output MP; $0.015 input MP for reference images</t>
        </is>
      </c>
      <c r="F18" s="5" t="inlineStr">
        <is>
          <t>https://openrouter.ai/black-forest-labs/flux.2-pro</t>
        </is>
      </c>
      <c r="G18" s="5" t="inlineStr">
        <is>
          <t>2026-08-18</t>
        </is>
      </c>
      <c r="H18" s="5" t="inlineStr">
        <is>
          <t>No assumed price advantage over direct BFL at 1MP.</t>
        </is>
      </c>
    </row>
    <row r="19" ht="18" customHeight="1">
      <c r="C19" s="5" t="inlineStr">
        <is>
          <t>Image</t>
        </is>
      </c>
      <c r="D19" s="5" t="inlineStr">
        <is>
          <t>Replicate</t>
        </is>
      </c>
      <c r="E19" s="5" t="inlineStr">
        <is>
          <t>FLUX.2 Pro $0.015/run plus $0.015 per output/input MP in source sweep</t>
        </is>
      </c>
      <c r="F19" s="5" t="inlineStr">
        <is>
          <t>https://replicate.com/black-forest-labs/flux-2-pro</t>
        </is>
      </c>
      <c r="G19" s="5" t="inlineStr">
        <is>
          <t>2026-08-18</t>
        </is>
      </c>
      <c r="H19" s="5" t="inlineStr">
        <is>
          <t>Safety needs separate policy; model-page pricing basis is version-specific.</t>
        </is>
      </c>
    </row>
    <row r="20" ht="18" customHeight="1">
      <c r="C20" s="5" t="inlineStr">
        <is>
          <t>Image</t>
        </is>
      </c>
      <c r="D20" s="5" t="inlineStr">
        <is>
          <t>fal</t>
        </is>
      </c>
      <c r="E20" s="5" t="inlineStr">
        <is>
          <t>FLUX.2 Pro $0.03 first output MP + $0.015 additional input/output MP</t>
        </is>
      </c>
      <c r="F20" s="5" t="inlineStr">
        <is>
          <t>https://fal.ai/models/fal-ai/flux-2-pro</t>
        </is>
      </c>
      <c r="G20" s="5" t="inlineStr">
        <is>
          <t>2026-08-18</t>
        </is>
      </c>
      <c r="H20" s="5" t="inlineStr">
        <is>
          <t>Default safety checker is NSFW-oriented, not complete children’s policy.</t>
        </is>
      </c>
    </row>
    <row r="21" ht="18" customHeight="1">
      <c r="C21" s="5" t="inlineStr">
        <is>
          <t>Local image</t>
        </is>
      </c>
      <c r="D21" s="5" t="inlineStr">
        <is>
          <t>ComfyUI</t>
        </is>
      </c>
      <c r="E21" s="5" t="inlineStr">
        <is>
          <t>Core local runtime; no per-image software price stated</t>
        </is>
      </c>
      <c r="F21" s="5" t="inlineStr">
        <is>
          <t>https://github.com/Comfy-Org/ComfyUI</t>
        </is>
      </c>
      <c r="G21" s="5" t="inlineStr">
        <is>
          <t>2026-08-18</t>
        </is>
      </c>
      <c r="H21" s="5" t="inlineStr">
        <is>
          <t>Local GPU, model license, filtering, operations and evaluation remain real costs.</t>
        </is>
      </c>
    </row>
    <row r="22" ht="18" customHeight="1">
      <c r="C22" s="5" t="inlineStr">
        <is>
          <t>FX</t>
        </is>
      </c>
      <c r="D22" s="5" t="inlineStr">
        <is>
          <t>Bank of England</t>
        </is>
      </c>
      <c r="E22" s="5" t="inlineStr">
        <is>
          <t>17 Aug 2026: £1 = $1.3553; model uses $1 = £0.73784</t>
        </is>
      </c>
      <c r="F22" s="5" t="inlineStr">
        <is>
          <t>https://www.bankofengland.co.uk/boeapps/database/Rates.asp</t>
        </is>
      </c>
      <c r="G22" s="5" t="inlineStr">
        <is>
          <t>2026-08-18</t>
        </is>
      </c>
      <c r="H22" s="5" t="inlineStr">
        <is>
          <t>BoE calls these non-official rates; planning translation only.</t>
        </is>
      </c>
    </row>
  </sheetData>
  <mergeCells count="1">
    <mergeCell ref="C3:H3"/>
  </mergeCells>
  <pageMargins left="0.75" right="0.75" top="1" bottom="1" header="0.5" footer="0.5"/>
  <pageSetup orientation="landscape" fitToWidth="1"/>
  <headerFooter>
    <oddHeader/>
    <oddFooter>&amp;C&amp;A |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2026-08-18T10:24:18Z</dcterms:created>
  <dcterms:modified xmlns:dcterms="http://purl.org/dc/terms/" xmlns:xsi="http://www.w3.org/2001/XMLSchema-instance" xsi:type="dcterms:W3CDTF">2026-08-18T10:24:19Z</dcterms:modified>
</cp:coreProperties>
</file>